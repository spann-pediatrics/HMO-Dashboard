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spann/Desktop/HMO Power Bi/"/>
    </mc:Choice>
  </mc:AlternateContent>
  <xr:revisionPtr revIDLastSave="0" documentId="8_{63AF1A2C-9A6B-AB46-8472-08001BE345CF}" xr6:coauthVersionLast="47" xr6:coauthVersionMax="47" xr10:uidLastSave="{00000000-0000-0000-0000-000000000000}"/>
  <bookViews>
    <workbookView xWindow="0" yWindow="760" windowWidth="28800" windowHeight="15940" xr2:uid="{00000000-000D-0000-FFFF-FFFF00000000}"/>
  </bookViews>
  <sheets>
    <sheet name="UC" sheetId="1" r:id="rId1"/>
    <sheet name="Austin" sheetId="2" r:id="rId2"/>
  </sheets>
  <definedNames>
    <definedName name="_xlnm._FilterDatabase" localSheetId="1" hidden="1">Austin!$A$1:$CP$1000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ePz7L8VyxGhKC9mpA1rHkJRZ49bq7EJ3GGyjaC6suA="/>
    </ext>
  </extLst>
</workbook>
</file>

<file path=xl/calcChain.xml><?xml version="1.0" encoding="utf-8"?>
<calcChain xmlns="http://schemas.openxmlformats.org/spreadsheetml/2006/main">
  <c r="CO51" i="2" l="1"/>
  <c r="CN51" i="2"/>
  <c r="CM51" i="2"/>
  <c r="CO50" i="2"/>
  <c r="CN50" i="2"/>
  <c r="CM50" i="2"/>
  <c r="CO49" i="2"/>
  <c r="CN49" i="2"/>
  <c r="CM49" i="2"/>
  <c r="CO48" i="2"/>
  <c r="CN48" i="2"/>
  <c r="CM48" i="2"/>
  <c r="CO47" i="2"/>
  <c r="CN47" i="2"/>
  <c r="CM47" i="2"/>
  <c r="CO46" i="2"/>
  <c r="CN46" i="2"/>
  <c r="CM46" i="2"/>
  <c r="CO45" i="2"/>
  <c r="CN45" i="2"/>
  <c r="CM45" i="2"/>
  <c r="CO44" i="2"/>
  <c r="CN44" i="2"/>
  <c r="CM44" i="2"/>
  <c r="CO43" i="2"/>
  <c r="CN43" i="2"/>
  <c r="CM43" i="2"/>
  <c r="CO42" i="2"/>
  <c r="CN42" i="2"/>
  <c r="CM42" i="2"/>
  <c r="CO41" i="2"/>
  <c r="CN41" i="2"/>
  <c r="CM41" i="2"/>
  <c r="CO40" i="2"/>
  <c r="CN40" i="2"/>
  <c r="CM40" i="2"/>
  <c r="CO39" i="2"/>
  <c r="CN39" i="2"/>
  <c r="CM39" i="2"/>
  <c r="CO38" i="2"/>
  <c r="CN38" i="2"/>
  <c r="CM38" i="2"/>
  <c r="CO37" i="2"/>
  <c r="CN37" i="2"/>
  <c r="CM37" i="2"/>
  <c r="CO36" i="2"/>
  <c r="CN36" i="2"/>
  <c r="CM36" i="2"/>
  <c r="CO35" i="2"/>
  <c r="CN35" i="2"/>
  <c r="CM35" i="2"/>
  <c r="CO34" i="2"/>
  <c r="CN34" i="2"/>
  <c r="CM34" i="2"/>
  <c r="CO33" i="2"/>
  <c r="CN33" i="2"/>
  <c r="CM33" i="2"/>
  <c r="CO32" i="2"/>
  <c r="CN32" i="2"/>
  <c r="CM32" i="2"/>
  <c r="CO31" i="2"/>
  <c r="CN31" i="2"/>
  <c r="CM31" i="2"/>
  <c r="CO30" i="2"/>
  <c r="CN30" i="2"/>
  <c r="CM30" i="2"/>
  <c r="CO29" i="2"/>
  <c r="CN29" i="2"/>
  <c r="CM29" i="2"/>
  <c r="CO28" i="2"/>
  <c r="CN28" i="2"/>
  <c r="CM28" i="2"/>
  <c r="CO27" i="2"/>
  <c r="CN27" i="2"/>
  <c r="CM27" i="2"/>
  <c r="CO26" i="2"/>
  <c r="CN26" i="2"/>
  <c r="CM26" i="2"/>
  <c r="CO25" i="2"/>
  <c r="CN25" i="2"/>
  <c r="CM25" i="2"/>
  <c r="CO24" i="2"/>
  <c r="CN24" i="2"/>
  <c r="CM24" i="2"/>
  <c r="CO23" i="2"/>
  <c r="CN23" i="2"/>
  <c r="CM23" i="2"/>
  <c r="CO22" i="2"/>
  <c r="CN22" i="2"/>
  <c r="CM22" i="2"/>
  <c r="CO21" i="2"/>
  <c r="CN21" i="2"/>
  <c r="CM21" i="2"/>
  <c r="CO20" i="2"/>
  <c r="CN20" i="2"/>
  <c r="CM20" i="2"/>
  <c r="CO19" i="2"/>
  <c r="CN19" i="2"/>
  <c r="CM19" i="2"/>
  <c r="CO18" i="2"/>
  <c r="CN18" i="2"/>
  <c r="CM18" i="2"/>
  <c r="CO17" i="2"/>
  <c r="CN17" i="2"/>
  <c r="CM17" i="2"/>
  <c r="CO16" i="2"/>
  <c r="CN16" i="2"/>
  <c r="CM16" i="2"/>
  <c r="CO15" i="2"/>
  <c r="CN15" i="2"/>
  <c r="CM15" i="2"/>
  <c r="CO14" i="2"/>
  <c r="CN14" i="2"/>
  <c r="CM14" i="2"/>
  <c r="CO13" i="2"/>
  <c r="CN13" i="2"/>
  <c r="CM13" i="2"/>
  <c r="CO12" i="2"/>
  <c r="CN12" i="2"/>
  <c r="CM12" i="2"/>
  <c r="CO11" i="2"/>
  <c r="CN11" i="2"/>
  <c r="CM11" i="2"/>
  <c r="CO10" i="2"/>
  <c r="CN10" i="2"/>
  <c r="CM10" i="2"/>
  <c r="CO9" i="2"/>
  <c r="CN9" i="2"/>
  <c r="CM9" i="2"/>
  <c r="CO8" i="2"/>
  <c r="CN8" i="2"/>
  <c r="CM8" i="2"/>
  <c r="CO7" i="2"/>
  <c r="CN7" i="2"/>
  <c r="CM7" i="2"/>
  <c r="CO6" i="2"/>
  <c r="CN6" i="2"/>
  <c r="CM6" i="2"/>
  <c r="CO5" i="2"/>
  <c r="CN5" i="2"/>
  <c r="CM5" i="2"/>
  <c r="CO4" i="2"/>
  <c r="CN4" i="2"/>
  <c r="CM4" i="2"/>
  <c r="CO3" i="2"/>
  <c r="CN3" i="2"/>
  <c r="CM3" i="2"/>
  <c r="CO2" i="2"/>
  <c r="CN2" i="2"/>
  <c r="CM2" i="2"/>
</calcChain>
</file>

<file path=xl/sharedStrings.xml><?xml version="1.0" encoding="utf-8"?>
<sst xmlns="http://schemas.openxmlformats.org/spreadsheetml/2006/main" count="1424" uniqueCount="165">
  <si>
    <t>Sample Number</t>
  </si>
  <si>
    <t>Combined pool number</t>
  </si>
  <si>
    <t>Date of processing</t>
  </si>
  <si>
    <t># Donors in pool</t>
  </si>
  <si>
    <t>Pool total volume</t>
  </si>
  <si>
    <t>Protein</t>
  </si>
  <si>
    <t>Lactose</t>
  </si>
  <si>
    <t>Fat</t>
  </si>
  <si>
    <t>Kcals</t>
  </si>
  <si>
    <t>Comments</t>
  </si>
  <si>
    <t>Donor 1 ID</t>
  </si>
  <si>
    <t>Donor 1 deposit volume</t>
  </si>
  <si>
    <t>Donor 1 Protein</t>
  </si>
  <si>
    <t>Donor 1 Lactose</t>
  </si>
  <si>
    <t>Donor 1 Fat</t>
  </si>
  <si>
    <t>Donor 1 Comments</t>
  </si>
  <si>
    <t>Donor 1 not in final batch</t>
  </si>
  <si>
    <t>Donor 2 ID</t>
  </si>
  <si>
    <t>Donor 2 deposit volume</t>
  </si>
  <si>
    <t>Donor 2 Protein</t>
  </si>
  <si>
    <t>Donor 2 Lactose</t>
  </si>
  <si>
    <t>Donor 2 Fat</t>
  </si>
  <si>
    <t>Donor 2 Comments</t>
  </si>
  <si>
    <t>Donor 2 not in final batch</t>
  </si>
  <si>
    <t>Donor 3 ID</t>
  </si>
  <si>
    <t>Donor 3 deposit volume</t>
  </si>
  <si>
    <t>Donor 3 Protein</t>
  </si>
  <si>
    <t>Donor 3 Lactose</t>
  </si>
  <si>
    <t>Donor 3 Fat</t>
  </si>
  <si>
    <t>Donor 3 Comments</t>
  </si>
  <si>
    <t>Donor 3 not in final batch</t>
  </si>
  <si>
    <t>Donor 4 ID</t>
  </si>
  <si>
    <t>Donor 4 deposit volume</t>
  </si>
  <si>
    <t>Donor 4 Protein</t>
  </si>
  <si>
    <t>Donor 4 Lactose</t>
  </si>
  <si>
    <t>Donor 4 Fat</t>
  </si>
  <si>
    <t>Donor 4 Comments</t>
  </si>
  <si>
    <t>Donor 4 not in final batch</t>
  </si>
  <si>
    <t>Donor 5 ID</t>
  </si>
  <si>
    <t>Donor 5 deposit volume</t>
  </si>
  <si>
    <t>Donor 5 Protein</t>
  </si>
  <si>
    <t>Donor 5 Lactose</t>
  </si>
  <si>
    <t>Donor 5 Fat</t>
  </si>
  <si>
    <t>Donor 5 Comments</t>
  </si>
  <si>
    <t>Donor 5 not in final batch</t>
  </si>
  <si>
    <t>Donor 6 ID</t>
  </si>
  <si>
    <t>Donor 6 deposit volume</t>
  </si>
  <si>
    <t>Donor 6 Protein</t>
  </si>
  <si>
    <t>Donor 6 Lactose</t>
  </si>
  <si>
    <t>Donor 6 Fat</t>
  </si>
  <si>
    <t>Donor 6 Comments</t>
  </si>
  <si>
    <t>Donor 6 not in final batch</t>
  </si>
  <si>
    <t>Donor 7 ID</t>
  </si>
  <si>
    <t>Donor 7 deposit volume</t>
  </si>
  <si>
    <t>Donor 7 Protein</t>
  </si>
  <si>
    <t>Donor 7 Lactose</t>
  </si>
  <si>
    <t>Donor 7 Fat</t>
  </si>
  <si>
    <t>Donor 7 Comments</t>
  </si>
  <si>
    <t>Donor 7 not in final batch</t>
  </si>
  <si>
    <t>Donor 8 ID</t>
  </si>
  <si>
    <t>Donor 8 deposit volume</t>
  </si>
  <si>
    <t>Donor 8 Protein</t>
  </si>
  <si>
    <t>Donor 8 Lactose</t>
  </si>
  <si>
    <t>Donor 8 Fat</t>
  </si>
  <si>
    <t>Donor 8 Comments</t>
  </si>
  <si>
    <t>Donor 8 not in final batch</t>
  </si>
  <si>
    <t>Donor 9 ID</t>
  </si>
  <si>
    <t>Donor 9 deposit volume</t>
  </si>
  <si>
    <t>Donor 9 Protein</t>
  </si>
  <si>
    <t>Donor 9 Lactose</t>
  </si>
  <si>
    <t>Donor 9 Fat</t>
  </si>
  <si>
    <t>Donor 9 Comments</t>
  </si>
  <si>
    <t>Donor 9 not in final batch</t>
  </si>
  <si>
    <t>Donor 10 ID</t>
  </si>
  <si>
    <t>Donor 10 deposit volume</t>
  </si>
  <si>
    <t>Donor 10 Protein</t>
  </si>
  <si>
    <t>Donor 10 Lactose</t>
  </si>
  <si>
    <t>Donor 10 Fat</t>
  </si>
  <si>
    <t>Donor 10 Comments</t>
  </si>
  <si>
    <t>Donor 10 not in final batch</t>
  </si>
  <si>
    <t>AGE Kcal/oz calculation</t>
  </si>
  <si>
    <t>AGE + -20% PRO Kcal/oz</t>
  </si>
  <si>
    <t>Lactose 7.5 g/dL Kcal/oz</t>
  </si>
  <si>
    <t>Late, 3 batches</t>
  </si>
  <si>
    <t>Late</t>
  </si>
  <si>
    <t>Early, 4 batches</t>
  </si>
  <si>
    <t>Early</t>
  </si>
  <si>
    <t>Early, 3 batches</t>
  </si>
  <si>
    <t>Late, 4 batches</t>
  </si>
  <si>
    <t>Late, 2 batches</t>
  </si>
  <si>
    <t>Early, 2 batches</t>
  </si>
  <si>
    <t xml:space="preserve">Early, 3 batches </t>
  </si>
  <si>
    <t>Pool total volume (weight on intake)</t>
  </si>
  <si>
    <t>Pool total final volume</t>
  </si>
  <si>
    <t>Total Early Donor</t>
  </si>
  <si>
    <t>Total First Year Donor</t>
  </si>
  <si>
    <t>Total Second Year Donor</t>
  </si>
  <si>
    <t>standard</t>
  </si>
  <si>
    <t>First Year</t>
  </si>
  <si>
    <t>protein</t>
  </si>
  <si>
    <t>2/13/2024</t>
  </si>
  <si>
    <t>2/14/2024</t>
  </si>
  <si>
    <t>2/15/2024</t>
  </si>
  <si>
    <t>2/16/2024</t>
  </si>
  <si>
    <t>2/20/2024</t>
  </si>
  <si>
    <t>2/22/2024</t>
  </si>
  <si>
    <t>Second Year</t>
  </si>
  <si>
    <t>2/26/2024</t>
  </si>
  <si>
    <t>2/27/2024</t>
  </si>
  <si>
    <t>2/28/2024</t>
  </si>
  <si>
    <t>2/29/2024</t>
  </si>
  <si>
    <t>outpatient</t>
  </si>
  <si>
    <t>NO</t>
  </si>
  <si>
    <t>3/13/2024</t>
  </si>
  <si>
    <t>3/14/2024</t>
  </si>
  <si>
    <t>3/15/2024</t>
  </si>
  <si>
    <t>3/20/2024</t>
  </si>
  <si>
    <t>3/21/2024</t>
  </si>
  <si>
    <t>3/22/2024</t>
  </si>
  <si>
    <t>3/27/2024</t>
  </si>
  <si>
    <t>3/25/2024</t>
  </si>
  <si>
    <t>3/28/2024</t>
  </si>
  <si>
    <t>4/22/2024</t>
  </si>
  <si>
    <t>4/24/2024</t>
  </si>
  <si>
    <t>4/29/2024</t>
  </si>
  <si>
    <t>5/13/2024</t>
  </si>
  <si>
    <t>5/14/2024</t>
  </si>
  <si>
    <t>5/16/2024</t>
  </si>
  <si>
    <t>5/24/2024</t>
  </si>
  <si>
    <t>5/30/2024</t>
  </si>
  <si>
    <t>5/31/2024</t>
  </si>
  <si>
    <t>6/13/2024</t>
  </si>
  <si>
    <t>6/18/2024</t>
  </si>
  <si>
    <t>6/20/2024</t>
  </si>
  <si>
    <t>6/26/2024</t>
  </si>
  <si>
    <t>6/27/2024</t>
  </si>
  <si>
    <t>6/28/2024</t>
  </si>
  <si>
    <t>7/15/2024</t>
  </si>
  <si>
    <t>7/23/2024</t>
  </si>
  <si>
    <t>7/24/2024</t>
  </si>
  <si>
    <t>7/25/2024</t>
  </si>
  <si>
    <t>7/26/2024</t>
  </si>
  <si>
    <t>7/29/2024</t>
  </si>
  <si>
    <t>7/30/2024</t>
  </si>
  <si>
    <t>8/14/2024</t>
  </si>
  <si>
    <t>8/13/2024</t>
  </si>
  <si>
    <t>8/17/2024</t>
  </si>
  <si>
    <t>8/20/2024</t>
  </si>
  <si>
    <t>8/21/2024</t>
  </si>
  <si>
    <t>8/22/2024</t>
  </si>
  <si>
    <t>8/23/2024</t>
  </si>
  <si>
    <t>8/27/2024</t>
  </si>
  <si>
    <t>8/29/2024</t>
  </si>
  <si>
    <t>8/30/2024</t>
  </si>
  <si>
    <t>9/16/2024</t>
  </si>
  <si>
    <t>9/17/2024</t>
  </si>
  <si>
    <t>9/19/2024</t>
  </si>
  <si>
    <t>9/20/2024</t>
  </si>
  <si>
    <t>9/23/2024</t>
  </si>
  <si>
    <t>Standard</t>
  </si>
  <si>
    <t>9/24/2024</t>
  </si>
  <si>
    <t>First year</t>
  </si>
  <si>
    <t>9/25/2024</t>
  </si>
  <si>
    <t>9/26/2025</t>
  </si>
  <si>
    <t>9/30/2024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</si>
</sst>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&quot;Google Sans Mono&quot;"/>
    </font>
    <font>
      <sz val="10"/>
      <color rgb="FF000000"/>
      <name val="Calibri"/>
      <family val="2"/>
    </font>
    <font>
      <sz val="12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6E3B6"/>
        <bgColor rgb="FFA6E3B6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3" borderId="1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4" fontId="1" fillId="3" borderId="1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/>
    <xf numFmtId="4" fontId="2" fillId="0" borderId="1" xfId="0" applyNumberFormat="1" applyFont="1" applyBorder="1"/>
    <xf numFmtId="1" fontId="2" fillId="0" borderId="1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4" fontId="2" fillId="0" borderId="2" xfId="0" applyNumberFormat="1" applyFont="1" applyBorder="1"/>
    <xf numFmtId="1" fontId="2" fillId="0" borderId="2" xfId="0" applyNumberFormat="1" applyFont="1" applyBorder="1"/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4" fontId="2" fillId="0" borderId="3" xfId="0" applyNumberFormat="1" applyFont="1" applyBorder="1"/>
    <xf numFmtId="1" fontId="2" fillId="0" borderId="3" xfId="0" applyNumberFormat="1" applyFont="1" applyBorder="1"/>
    <xf numFmtId="0" fontId="3" fillId="0" borderId="3" xfId="0" applyFont="1" applyBorder="1"/>
    <xf numFmtId="4" fontId="4" fillId="0" borderId="1" xfId="0" applyNumberFormat="1" applyFont="1" applyBorder="1"/>
    <xf numFmtId="1" fontId="4" fillId="0" borderId="1" xfId="0" applyNumberFormat="1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164" fontId="2" fillId="0" borderId="4" xfId="0" applyNumberFormat="1" applyFont="1" applyBorder="1"/>
    <xf numFmtId="0" fontId="4" fillId="0" borderId="4" xfId="0" applyFont="1" applyBorder="1"/>
    <xf numFmtId="4" fontId="4" fillId="0" borderId="4" xfId="0" applyNumberFormat="1" applyFont="1" applyBorder="1"/>
    <xf numFmtId="1" fontId="4" fillId="0" borderId="4" xfId="0" applyNumberFormat="1" applyFont="1" applyBorder="1"/>
    <xf numFmtId="164" fontId="2" fillId="0" borderId="3" xfId="0" applyNumberFormat="1" applyFont="1" applyBorder="1"/>
    <xf numFmtId="0" fontId="4" fillId="0" borderId="3" xfId="0" applyFont="1" applyBorder="1"/>
    <xf numFmtId="4" fontId="4" fillId="0" borderId="3" xfId="0" applyNumberFormat="1" applyFont="1" applyBorder="1"/>
    <xf numFmtId="1" fontId="4" fillId="0" borderId="3" xfId="0" applyNumberFormat="1" applyFont="1" applyBorder="1"/>
    <xf numFmtId="164" fontId="2" fillId="0" borderId="2" xfId="0" applyNumberFormat="1" applyFont="1" applyBorder="1"/>
    <xf numFmtId="0" fontId="4" fillId="0" borderId="2" xfId="0" applyFont="1" applyBorder="1"/>
    <xf numFmtId="4" fontId="4" fillId="0" borderId="2" xfId="0" applyNumberFormat="1" applyFont="1" applyBorder="1"/>
    <xf numFmtId="1" fontId="4" fillId="0" borderId="2" xfId="0" applyNumberFormat="1" applyFont="1" applyBorder="1"/>
    <xf numFmtId="4" fontId="5" fillId="0" borderId="0" xfId="0" applyNumberFormat="1" applyFont="1"/>
    <xf numFmtId="1" fontId="5" fillId="0" borderId="0" xfId="0" applyNumberFormat="1" applyFont="1"/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14" fontId="2" fillId="0" borderId="5" xfId="0" applyNumberFormat="1" applyFont="1" applyBorder="1"/>
    <xf numFmtId="0" fontId="2" fillId="0" borderId="0" xfId="0" applyFont="1"/>
    <xf numFmtId="0" fontId="7" fillId="0" borderId="5" xfId="0" applyFont="1" applyBorder="1"/>
    <xf numFmtId="0" fontId="2" fillId="4" borderId="5" xfId="0" applyFont="1" applyFill="1" applyBorder="1"/>
    <xf numFmtId="0" fontId="2" fillId="5" borderId="5" xfId="0" applyFont="1" applyFill="1" applyBorder="1"/>
    <xf numFmtId="0" fontId="2" fillId="6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1" xfId="0" applyFont="1" applyBorder="1" applyAlignment="1">
      <alignment horizontal="right"/>
    </xf>
    <xf numFmtId="0" fontId="2" fillId="7" borderId="5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T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06" sqref="I106"/>
    </sheetView>
  </sheetViews>
  <sheetFormatPr baseColWidth="10" defaultColWidth="12.6640625" defaultRowHeight="15" customHeight="1"/>
  <cols>
    <col min="1" max="6" width="12.6640625" customWidth="1"/>
    <col min="10" max="10" width="16.6640625" customWidth="1"/>
  </cols>
  <sheetData>
    <row r="1" spans="1:98" ht="57.75" customHeight="1">
      <c r="A1" s="41" t="s">
        <v>0</v>
      </c>
      <c r="B1" s="42" t="s">
        <v>1</v>
      </c>
      <c r="C1" s="42" t="s">
        <v>2</v>
      </c>
      <c r="D1" s="42" t="s">
        <v>3</v>
      </c>
      <c r="E1" s="42" t="s">
        <v>92</v>
      </c>
      <c r="F1" s="42" t="s">
        <v>93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94</v>
      </c>
      <c r="L1" s="42" t="s">
        <v>95</v>
      </c>
      <c r="M1" s="42" t="s">
        <v>96</v>
      </c>
      <c r="N1" s="42" t="s">
        <v>9</v>
      </c>
      <c r="O1" s="42" t="s">
        <v>10</v>
      </c>
      <c r="P1" s="42" t="s">
        <v>11</v>
      </c>
      <c r="Q1" s="42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/>
      <c r="W1" s="42" t="s">
        <v>17</v>
      </c>
      <c r="X1" s="42" t="s">
        <v>18</v>
      </c>
      <c r="Y1" s="42" t="s">
        <v>19</v>
      </c>
      <c r="Z1" s="42" t="s">
        <v>20</v>
      </c>
      <c r="AA1" s="42" t="s">
        <v>21</v>
      </c>
      <c r="AB1" s="42" t="s">
        <v>22</v>
      </c>
      <c r="AC1" s="42" t="s">
        <v>23</v>
      </c>
      <c r="AD1" s="42"/>
      <c r="AE1" s="42" t="s">
        <v>24</v>
      </c>
      <c r="AF1" s="42" t="s">
        <v>25</v>
      </c>
      <c r="AG1" s="42" t="s">
        <v>26</v>
      </c>
      <c r="AH1" s="42" t="s">
        <v>27</v>
      </c>
      <c r="AI1" s="42" t="s">
        <v>28</v>
      </c>
      <c r="AJ1" s="42" t="s">
        <v>29</v>
      </c>
      <c r="AK1" s="42" t="s">
        <v>30</v>
      </c>
      <c r="AL1" s="42"/>
      <c r="AM1" s="42" t="s">
        <v>31</v>
      </c>
      <c r="AN1" s="42" t="s">
        <v>32</v>
      </c>
      <c r="AO1" s="42" t="s">
        <v>33</v>
      </c>
      <c r="AP1" s="42" t="s">
        <v>34</v>
      </c>
      <c r="AQ1" s="42" t="s">
        <v>35</v>
      </c>
      <c r="AR1" s="42" t="s">
        <v>36</v>
      </c>
      <c r="AS1" s="42" t="s">
        <v>37</v>
      </c>
      <c r="AT1" s="42"/>
      <c r="AU1" s="42" t="s">
        <v>38</v>
      </c>
      <c r="AV1" s="42" t="s">
        <v>39</v>
      </c>
      <c r="AW1" s="42" t="s">
        <v>40</v>
      </c>
      <c r="AX1" s="42" t="s">
        <v>41</v>
      </c>
      <c r="AY1" s="42" t="s">
        <v>42</v>
      </c>
      <c r="AZ1" s="42" t="s">
        <v>43</v>
      </c>
      <c r="BA1" s="42" t="s">
        <v>44</v>
      </c>
      <c r="BB1" s="42"/>
      <c r="BC1" s="42" t="s">
        <v>45</v>
      </c>
      <c r="BD1" s="42" t="s">
        <v>46</v>
      </c>
      <c r="BE1" s="42" t="s">
        <v>47</v>
      </c>
      <c r="BF1" s="42" t="s">
        <v>48</v>
      </c>
      <c r="BG1" s="42" t="s">
        <v>49</v>
      </c>
      <c r="BH1" s="42" t="s">
        <v>50</v>
      </c>
      <c r="BI1" s="42" t="s">
        <v>51</v>
      </c>
      <c r="BJ1" s="42"/>
      <c r="BK1" s="42" t="s">
        <v>52</v>
      </c>
      <c r="BL1" s="42" t="s">
        <v>53</v>
      </c>
      <c r="BM1" s="42" t="s">
        <v>54</v>
      </c>
      <c r="BN1" s="42" t="s">
        <v>55</v>
      </c>
      <c r="BO1" s="42" t="s">
        <v>56</v>
      </c>
      <c r="BP1" s="42" t="s">
        <v>57</v>
      </c>
      <c r="BQ1" s="42" t="s">
        <v>58</v>
      </c>
      <c r="BR1" s="42"/>
      <c r="BS1" s="42" t="s">
        <v>59</v>
      </c>
      <c r="BT1" s="42" t="s">
        <v>60</v>
      </c>
      <c r="BU1" s="42" t="s">
        <v>61</v>
      </c>
      <c r="BV1" s="42" t="s">
        <v>62</v>
      </c>
      <c r="BW1" s="42" t="s">
        <v>63</v>
      </c>
      <c r="BX1" s="42" t="s">
        <v>64</v>
      </c>
      <c r="BY1" s="42" t="s">
        <v>65</v>
      </c>
      <c r="BZ1" s="42"/>
      <c r="CA1" s="42" t="s">
        <v>66</v>
      </c>
      <c r="CB1" s="42" t="s">
        <v>67</v>
      </c>
      <c r="CC1" s="42" t="s">
        <v>68</v>
      </c>
      <c r="CD1" s="42" t="s">
        <v>69</v>
      </c>
      <c r="CE1" s="42" t="s">
        <v>70</v>
      </c>
      <c r="CF1" s="42" t="s">
        <v>71</v>
      </c>
      <c r="CG1" s="42" t="s">
        <v>72</v>
      </c>
      <c r="CH1" s="42"/>
      <c r="CI1" s="42" t="s">
        <v>73</v>
      </c>
      <c r="CJ1" s="42" t="s">
        <v>74</v>
      </c>
      <c r="CK1" s="42" t="s">
        <v>75</v>
      </c>
      <c r="CL1" s="42" t="s">
        <v>76</v>
      </c>
      <c r="CM1" s="42" t="s">
        <v>77</v>
      </c>
      <c r="CN1" s="42" t="s">
        <v>78</v>
      </c>
      <c r="CO1" s="42" t="s">
        <v>79</v>
      </c>
      <c r="CP1" s="42"/>
      <c r="CQ1" s="42" t="s">
        <v>80</v>
      </c>
      <c r="CR1" s="42" t="s">
        <v>81</v>
      </c>
      <c r="CS1" s="42" t="s">
        <v>82</v>
      </c>
      <c r="CT1" s="42"/>
    </row>
    <row r="2" spans="1:98" ht="15.75" customHeight="1">
      <c r="A2" s="43">
        <v>1</v>
      </c>
      <c r="B2" s="44">
        <v>671</v>
      </c>
      <c r="C2" s="45">
        <v>45414</v>
      </c>
      <c r="D2" s="44">
        <v>7</v>
      </c>
      <c r="E2" s="44">
        <v>36420</v>
      </c>
      <c r="F2" s="44">
        <v>31200</v>
      </c>
      <c r="G2" s="44">
        <v>1.18</v>
      </c>
      <c r="H2" s="44">
        <v>7.81</v>
      </c>
      <c r="I2" s="44">
        <v>3.79</v>
      </c>
      <c r="J2" s="44">
        <v>21</v>
      </c>
      <c r="K2" s="44">
        <v>1</v>
      </c>
      <c r="L2" s="44">
        <v>6</v>
      </c>
      <c r="M2" s="44">
        <v>0</v>
      </c>
      <c r="N2" s="44" t="s">
        <v>97</v>
      </c>
      <c r="O2" s="44">
        <v>9350</v>
      </c>
      <c r="P2" s="44">
        <v>3540</v>
      </c>
      <c r="Q2" s="44">
        <v>1.1000000000000001</v>
      </c>
      <c r="R2" s="44">
        <v>7.91</v>
      </c>
      <c r="S2" s="44">
        <v>4.9000000000000004</v>
      </c>
      <c r="T2" s="44" t="s">
        <v>98</v>
      </c>
      <c r="U2" s="44"/>
      <c r="V2" s="44"/>
      <c r="W2" s="44">
        <v>9279</v>
      </c>
      <c r="X2" s="44">
        <v>7000</v>
      </c>
      <c r="Y2" s="44">
        <v>1.1000000000000001</v>
      </c>
      <c r="Z2" s="44">
        <v>7.77</v>
      </c>
      <c r="AA2" s="44">
        <v>2.11</v>
      </c>
      <c r="AB2" s="44" t="s">
        <v>98</v>
      </c>
      <c r="AC2" s="44"/>
      <c r="AD2" s="44"/>
      <c r="AE2" s="44">
        <v>9306</v>
      </c>
      <c r="AF2" s="44">
        <v>4900</v>
      </c>
      <c r="AG2" s="44">
        <v>1.1299999999999999</v>
      </c>
      <c r="AH2" s="44">
        <v>8</v>
      </c>
      <c r="AI2" s="44">
        <v>4.49</v>
      </c>
      <c r="AJ2" s="44" t="s">
        <v>98</v>
      </c>
      <c r="AK2" s="44"/>
      <c r="AL2" s="44"/>
      <c r="AM2" s="44">
        <v>9269</v>
      </c>
      <c r="AN2" s="44">
        <v>2360</v>
      </c>
      <c r="AO2" s="44">
        <v>1.01</v>
      </c>
      <c r="AP2" s="44">
        <v>7.81</v>
      </c>
      <c r="AQ2" s="44">
        <v>5.17</v>
      </c>
      <c r="AR2" s="44" t="s">
        <v>98</v>
      </c>
      <c r="AS2" s="44"/>
      <c r="AT2" s="44"/>
      <c r="AU2" s="44">
        <v>9305</v>
      </c>
      <c r="AV2" s="44">
        <v>2380</v>
      </c>
      <c r="AW2" s="44">
        <v>1.71</v>
      </c>
      <c r="AX2" s="44">
        <v>7.63</v>
      </c>
      <c r="AY2" s="44">
        <v>6.24</v>
      </c>
      <c r="AZ2" s="44" t="s">
        <v>98</v>
      </c>
      <c r="BA2" s="44"/>
      <c r="BB2" s="44"/>
      <c r="BC2" s="44">
        <v>9230</v>
      </c>
      <c r="BD2" s="44">
        <v>7400</v>
      </c>
      <c r="BE2" s="44">
        <v>1.2</v>
      </c>
      <c r="BF2" s="44">
        <v>7.85</v>
      </c>
      <c r="BG2" s="44">
        <v>4.72</v>
      </c>
      <c r="BH2" s="44" t="s">
        <v>98</v>
      </c>
      <c r="BI2" s="44"/>
      <c r="BJ2" s="44"/>
      <c r="BK2" s="44">
        <v>9307</v>
      </c>
      <c r="BL2" s="44">
        <v>8840</v>
      </c>
      <c r="BM2" s="44">
        <v>1.19</v>
      </c>
      <c r="BN2" s="44">
        <v>7.89</v>
      </c>
      <c r="BO2" s="44">
        <v>2.42</v>
      </c>
      <c r="BP2" s="44" t="s">
        <v>86</v>
      </c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>
        <v>21.021000000000001</v>
      </c>
      <c r="CR2" s="47">
        <v>20.7378</v>
      </c>
      <c r="CS2" s="44">
        <v>20.649000000000001</v>
      </c>
      <c r="CT2" s="44"/>
    </row>
    <row r="3" spans="1:98" ht="15.75" customHeight="1">
      <c r="A3" s="43">
        <v>2</v>
      </c>
      <c r="B3" s="44">
        <v>672</v>
      </c>
      <c r="C3" s="45">
        <v>45537</v>
      </c>
      <c r="D3" s="44">
        <v>6</v>
      </c>
      <c r="E3" s="44">
        <v>35840</v>
      </c>
      <c r="F3" s="44">
        <v>31200</v>
      </c>
      <c r="G3" s="44">
        <v>1.27</v>
      </c>
      <c r="H3" s="44">
        <v>7.85</v>
      </c>
      <c r="I3" s="44">
        <v>3.28</v>
      </c>
      <c r="J3" s="44">
        <v>20</v>
      </c>
      <c r="K3" s="44">
        <v>4</v>
      </c>
      <c r="L3" s="44">
        <v>2</v>
      </c>
      <c r="M3" s="44">
        <v>0</v>
      </c>
      <c r="N3" s="44" t="s">
        <v>99</v>
      </c>
      <c r="O3" s="44">
        <v>9244</v>
      </c>
      <c r="P3" s="44">
        <v>5240</v>
      </c>
      <c r="Q3" s="44">
        <v>1.29</v>
      </c>
      <c r="R3" s="44">
        <v>7.97</v>
      </c>
      <c r="S3" s="44">
        <v>3.47</v>
      </c>
      <c r="T3" s="44" t="s">
        <v>86</v>
      </c>
      <c r="U3" s="44"/>
      <c r="V3" s="44"/>
      <c r="W3" s="44">
        <v>9233</v>
      </c>
      <c r="X3" s="44">
        <v>11340</v>
      </c>
      <c r="Y3" s="44">
        <v>1.24</v>
      </c>
      <c r="Z3" s="44">
        <v>7.95</v>
      </c>
      <c r="AA3" s="44">
        <v>2.89</v>
      </c>
      <c r="AB3" s="44" t="s">
        <v>86</v>
      </c>
      <c r="AC3" s="44"/>
      <c r="AD3" s="44"/>
      <c r="AE3" s="44">
        <v>9382</v>
      </c>
      <c r="AF3" s="44">
        <v>5360</v>
      </c>
      <c r="AG3" s="44">
        <v>1.1599999999999999</v>
      </c>
      <c r="AH3" s="44">
        <v>7.79</v>
      </c>
      <c r="AI3" s="44">
        <v>3.46</v>
      </c>
      <c r="AJ3" s="44" t="s">
        <v>98</v>
      </c>
      <c r="AK3" s="44"/>
      <c r="AL3" s="44"/>
      <c r="AM3" s="44">
        <v>9338</v>
      </c>
      <c r="AN3" s="44">
        <v>3640</v>
      </c>
      <c r="AO3" s="44">
        <v>1.46</v>
      </c>
      <c r="AP3" s="44">
        <v>7.23</v>
      </c>
      <c r="AQ3" s="44">
        <v>4.26</v>
      </c>
      <c r="AR3" s="44" t="s">
        <v>86</v>
      </c>
      <c r="AS3" s="44"/>
      <c r="AT3" s="44"/>
      <c r="AU3" s="44">
        <v>9316</v>
      </c>
      <c r="AV3" s="44">
        <v>6540</v>
      </c>
      <c r="AW3" s="44">
        <v>1.1200000000000001</v>
      </c>
      <c r="AX3" s="44">
        <v>8.1</v>
      </c>
      <c r="AY3" s="44">
        <v>1.85</v>
      </c>
      <c r="AZ3" s="44" t="s">
        <v>98</v>
      </c>
      <c r="BA3" s="44"/>
      <c r="BB3" s="44"/>
      <c r="BC3" s="44">
        <v>9344</v>
      </c>
      <c r="BD3" s="44">
        <v>3720</v>
      </c>
      <c r="BE3" s="44">
        <v>1.4</v>
      </c>
      <c r="BF3" s="44">
        <v>7.85</v>
      </c>
      <c r="BG3" s="44">
        <v>4.87</v>
      </c>
      <c r="BH3" s="44" t="s">
        <v>86</v>
      </c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>
        <v>66</v>
      </c>
      <c r="CR3" s="47">
        <v>67.27</v>
      </c>
      <c r="CS3" s="44">
        <v>19.38</v>
      </c>
      <c r="CT3" s="44"/>
    </row>
    <row r="4" spans="1:98" ht="15.75" customHeight="1">
      <c r="A4" s="43">
        <v>3</v>
      </c>
      <c r="B4" s="44">
        <v>673</v>
      </c>
      <c r="C4" s="45">
        <v>45628</v>
      </c>
      <c r="D4" s="44">
        <v>4</v>
      </c>
      <c r="E4" s="44">
        <v>24980</v>
      </c>
      <c r="F4" s="44">
        <v>22800</v>
      </c>
      <c r="G4" s="44">
        <v>1.36</v>
      </c>
      <c r="H4" s="44">
        <v>7.89</v>
      </c>
      <c r="I4" s="44">
        <v>3.78</v>
      </c>
      <c r="J4" s="44">
        <v>21</v>
      </c>
      <c r="K4" s="44">
        <v>2</v>
      </c>
      <c r="L4" s="44">
        <v>2</v>
      </c>
      <c r="M4" s="44">
        <v>0</v>
      </c>
      <c r="N4" s="44" t="s">
        <v>99</v>
      </c>
      <c r="O4" s="44">
        <v>9289</v>
      </c>
      <c r="P4" s="44">
        <v>9640</v>
      </c>
      <c r="Q4" s="44">
        <v>1.59</v>
      </c>
      <c r="R4" s="44">
        <v>7.96</v>
      </c>
      <c r="S4" s="44">
        <v>3.88</v>
      </c>
      <c r="T4" s="44" t="s">
        <v>86</v>
      </c>
      <c r="U4" s="44"/>
      <c r="V4" s="44"/>
      <c r="W4" s="44">
        <v>9360</v>
      </c>
      <c r="X4" s="44">
        <v>5800</v>
      </c>
      <c r="Y4" s="44">
        <v>1.1399999999999999</v>
      </c>
      <c r="Z4" s="44">
        <v>7.82</v>
      </c>
      <c r="AA4" s="44">
        <v>4.2</v>
      </c>
      <c r="AB4" s="44" t="s">
        <v>98</v>
      </c>
      <c r="AC4" s="44"/>
      <c r="AD4" s="44"/>
      <c r="AE4" s="44">
        <v>9334</v>
      </c>
      <c r="AF4" s="44">
        <v>4020</v>
      </c>
      <c r="AG4" s="44">
        <v>1.17</v>
      </c>
      <c r="AH4" s="44">
        <v>7.56</v>
      </c>
      <c r="AI4" s="44">
        <v>3.38</v>
      </c>
      <c r="AJ4" s="44" t="s">
        <v>98</v>
      </c>
      <c r="AK4" s="44"/>
      <c r="AL4" s="44"/>
      <c r="AM4" s="44">
        <v>9237</v>
      </c>
      <c r="AN4" s="44">
        <v>5520</v>
      </c>
      <c r="AO4" s="44">
        <v>1.32</v>
      </c>
      <c r="AP4" s="44">
        <v>8.06</v>
      </c>
      <c r="AQ4" s="44">
        <v>3.29</v>
      </c>
      <c r="AR4" s="44" t="s">
        <v>86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>
        <v>71.02</v>
      </c>
      <c r="CR4" s="47">
        <v>72.38</v>
      </c>
      <c r="CS4" s="44">
        <v>20.838000000000001</v>
      </c>
      <c r="CT4" s="44"/>
    </row>
    <row r="5" spans="1:98" ht="15.75" customHeight="1">
      <c r="A5" s="43">
        <v>4</v>
      </c>
      <c r="B5" s="44">
        <v>674</v>
      </c>
      <c r="C5" s="44" t="s">
        <v>100</v>
      </c>
      <c r="D5" s="44">
        <v>5</v>
      </c>
      <c r="E5" s="44">
        <v>35840</v>
      </c>
      <c r="F5" s="44">
        <v>31200</v>
      </c>
      <c r="G5" s="44">
        <v>1.25</v>
      </c>
      <c r="H5" s="44">
        <v>7.96</v>
      </c>
      <c r="I5" s="44">
        <v>3.59</v>
      </c>
      <c r="J5" s="44">
        <v>20</v>
      </c>
      <c r="K5" s="44">
        <v>2</v>
      </c>
      <c r="L5" s="44">
        <v>3</v>
      </c>
      <c r="M5" s="44">
        <v>0</v>
      </c>
      <c r="N5" s="44" t="s">
        <v>99</v>
      </c>
      <c r="O5" s="44">
        <v>9249</v>
      </c>
      <c r="P5" s="44">
        <v>5280</v>
      </c>
      <c r="Q5" s="44">
        <v>1.25</v>
      </c>
      <c r="R5" s="44">
        <v>7.93</v>
      </c>
      <c r="S5" s="44">
        <v>2.75</v>
      </c>
      <c r="T5" s="44" t="s">
        <v>86</v>
      </c>
      <c r="U5" s="44"/>
      <c r="V5" s="44"/>
      <c r="W5" s="44">
        <v>9371</v>
      </c>
      <c r="X5" s="44">
        <v>11500</v>
      </c>
      <c r="Y5" s="44">
        <v>1.1499999999999999</v>
      </c>
      <c r="Z5" s="44">
        <v>8.07</v>
      </c>
      <c r="AA5" s="44">
        <v>2.91</v>
      </c>
      <c r="AB5" s="44" t="s">
        <v>98</v>
      </c>
      <c r="AC5" s="44"/>
      <c r="AD5" s="44"/>
      <c r="AE5" s="48">
        <v>9383</v>
      </c>
      <c r="AF5" s="44">
        <v>8400</v>
      </c>
      <c r="AG5" s="44">
        <v>1.18</v>
      </c>
      <c r="AH5" s="44">
        <v>7.89</v>
      </c>
      <c r="AI5" s="44">
        <v>3.72</v>
      </c>
      <c r="AJ5" s="44" t="s">
        <v>98</v>
      </c>
      <c r="AK5" s="44"/>
      <c r="AL5" s="44"/>
      <c r="AM5" s="44">
        <v>9262</v>
      </c>
      <c r="AN5" s="44">
        <v>4340</v>
      </c>
      <c r="AO5" s="44">
        <v>1.68</v>
      </c>
      <c r="AP5" s="44">
        <v>8.1</v>
      </c>
      <c r="AQ5" s="44">
        <v>5.41</v>
      </c>
      <c r="AR5" s="44" t="s">
        <v>86</v>
      </c>
      <c r="AS5" s="44"/>
      <c r="AT5" s="44"/>
      <c r="AU5" s="44">
        <v>9337</v>
      </c>
      <c r="AV5" s="44">
        <v>6320</v>
      </c>
      <c r="AW5" s="44">
        <v>1.23</v>
      </c>
      <c r="AX5" s="44">
        <v>7.91</v>
      </c>
      <c r="AY5" s="44">
        <v>4.0199999999999996</v>
      </c>
      <c r="AZ5" s="44" t="s">
        <v>98</v>
      </c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>
        <v>69.150000000000006</v>
      </c>
      <c r="CR5" s="47">
        <v>70.400000000000006</v>
      </c>
      <c r="CS5" s="44">
        <v>20.193000000000001</v>
      </c>
      <c r="CT5" s="44"/>
    </row>
    <row r="6" spans="1:98" ht="15.75" customHeight="1">
      <c r="A6" s="43">
        <v>5</v>
      </c>
      <c r="B6" s="44">
        <v>675</v>
      </c>
      <c r="C6" s="44" t="s">
        <v>101</v>
      </c>
      <c r="D6" s="44">
        <v>6</v>
      </c>
      <c r="E6" s="44">
        <v>36060</v>
      </c>
      <c r="F6" s="44">
        <v>31200</v>
      </c>
      <c r="G6" s="44">
        <v>1.35</v>
      </c>
      <c r="H6" s="44">
        <v>7.92</v>
      </c>
      <c r="I6" s="44">
        <v>3.2</v>
      </c>
      <c r="J6" s="44">
        <v>20</v>
      </c>
      <c r="K6" s="44">
        <v>3</v>
      </c>
      <c r="L6" s="44">
        <v>3</v>
      </c>
      <c r="M6" s="44">
        <v>0</v>
      </c>
      <c r="N6" s="44" t="s">
        <v>99</v>
      </c>
      <c r="O6" s="44">
        <v>9261</v>
      </c>
      <c r="P6" s="44">
        <v>5120</v>
      </c>
      <c r="Q6" s="44">
        <v>1.51</v>
      </c>
      <c r="R6" s="44">
        <v>7.61</v>
      </c>
      <c r="S6" s="44">
        <v>2.0099999999999998</v>
      </c>
      <c r="T6" s="44" t="s">
        <v>86</v>
      </c>
      <c r="U6" s="44"/>
      <c r="V6" s="44"/>
      <c r="W6" s="44">
        <v>9333</v>
      </c>
      <c r="X6" s="44">
        <v>7360</v>
      </c>
      <c r="Y6" s="44">
        <v>1.1100000000000001</v>
      </c>
      <c r="Z6" s="44">
        <v>7.98</v>
      </c>
      <c r="AA6" s="44">
        <v>3.17</v>
      </c>
      <c r="AB6" s="44" t="s">
        <v>98</v>
      </c>
      <c r="AC6" s="44"/>
      <c r="AD6" s="44"/>
      <c r="AE6" s="44">
        <v>9332</v>
      </c>
      <c r="AF6" s="44">
        <v>4200</v>
      </c>
      <c r="AG6" s="44">
        <v>1.24</v>
      </c>
      <c r="AH6" s="44">
        <v>7.85</v>
      </c>
      <c r="AI6" s="44">
        <v>3.3</v>
      </c>
      <c r="AJ6" s="44" t="s">
        <v>98</v>
      </c>
      <c r="AK6" s="44"/>
      <c r="AL6" s="44"/>
      <c r="AM6" s="44">
        <v>9336</v>
      </c>
      <c r="AN6" s="44">
        <v>3120</v>
      </c>
      <c r="AO6" s="44">
        <v>1.86</v>
      </c>
      <c r="AP6" s="44">
        <v>7.52</v>
      </c>
      <c r="AQ6" s="44">
        <v>3.77</v>
      </c>
      <c r="AR6" s="44" t="s">
        <v>86</v>
      </c>
      <c r="AS6" s="44"/>
      <c r="AT6" s="44"/>
      <c r="AU6" s="44">
        <v>9381</v>
      </c>
      <c r="AV6" s="44">
        <v>10760</v>
      </c>
      <c r="AW6" s="44">
        <v>1.22</v>
      </c>
      <c r="AX6" s="44">
        <v>8.25</v>
      </c>
      <c r="AY6" s="44">
        <v>2.86</v>
      </c>
      <c r="AZ6" s="44" t="s">
        <v>98</v>
      </c>
      <c r="BA6" s="44"/>
      <c r="BB6" s="44"/>
      <c r="BC6" s="44">
        <v>9355</v>
      </c>
      <c r="BD6" s="44">
        <v>5500</v>
      </c>
      <c r="BE6" s="44">
        <v>1.54</v>
      </c>
      <c r="BF6" s="44">
        <v>7.84</v>
      </c>
      <c r="BG6" s="44">
        <v>4.51</v>
      </c>
      <c r="BH6" s="44" t="s">
        <v>86</v>
      </c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>
        <v>65.88</v>
      </c>
      <c r="CR6" s="47">
        <v>67.23</v>
      </c>
      <c r="CS6" s="44">
        <v>19.260000000000002</v>
      </c>
      <c r="CT6" s="44"/>
    </row>
    <row r="7" spans="1:98" ht="15.75" customHeight="1">
      <c r="A7" s="43">
        <v>6</v>
      </c>
      <c r="B7" s="44">
        <v>676</v>
      </c>
      <c r="C7" s="44" t="s">
        <v>102</v>
      </c>
      <c r="D7" s="44">
        <v>7</v>
      </c>
      <c r="E7" s="44">
        <v>26780</v>
      </c>
      <c r="F7" s="44">
        <v>22800</v>
      </c>
      <c r="G7" s="44">
        <v>1.27</v>
      </c>
      <c r="H7" s="44">
        <v>7.76</v>
      </c>
      <c r="I7" s="44">
        <v>4.0599999999999996</v>
      </c>
      <c r="J7" s="44">
        <v>22</v>
      </c>
      <c r="K7" s="44">
        <v>2</v>
      </c>
      <c r="L7" s="44">
        <v>5</v>
      </c>
      <c r="M7" s="44">
        <v>0</v>
      </c>
      <c r="N7" s="44" t="s">
        <v>99</v>
      </c>
      <c r="O7" s="44">
        <v>9343</v>
      </c>
      <c r="P7" s="44">
        <v>2400</v>
      </c>
      <c r="Q7" s="44">
        <v>1.19</v>
      </c>
      <c r="R7" s="44">
        <v>7.88</v>
      </c>
      <c r="S7" s="44">
        <v>5.55</v>
      </c>
      <c r="T7" s="44" t="s">
        <v>98</v>
      </c>
      <c r="U7" s="44"/>
      <c r="V7" s="44"/>
      <c r="W7" s="44">
        <v>9361</v>
      </c>
      <c r="X7" s="44">
        <v>4800</v>
      </c>
      <c r="Y7" s="44">
        <v>1.1299999999999999</v>
      </c>
      <c r="Z7" s="44">
        <v>7.9</v>
      </c>
      <c r="AA7" s="44">
        <v>4.3499999999999996</v>
      </c>
      <c r="AB7" s="44" t="s">
        <v>98</v>
      </c>
      <c r="AC7" s="44"/>
      <c r="AD7" s="44"/>
      <c r="AE7" s="44">
        <v>9335</v>
      </c>
      <c r="AF7" s="44">
        <v>4380</v>
      </c>
      <c r="AG7" s="44">
        <v>1.1599999999999999</v>
      </c>
      <c r="AH7" s="44">
        <v>7.5</v>
      </c>
      <c r="AI7" s="44">
        <v>3.35</v>
      </c>
      <c r="AJ7" s="44" t="s">
        <v>98</v>
      </c>
      <c r="AK7" s="44"/>
      <c r="AL7" s="44"/>
      <c r="AM7" s="44">
        <v>9385</v>
      </c>
      <c r="AN7" s="44">
        <v>3060</v>
      </c>
      <c r="AO7" s="44">
        <v>1.51</v>
      </c>
      <c r="AP7" s="44">
        <v>7.51</v>
      </c>
      <c r="AQ7" s="44">
        <v>3.44</v>
      </c>
      <c r="AR7" s="44" t="s">
        <v>86</v>
      </c>
      <c r="AS7" s="44"/>
      <c r="AT7" s="44"/>
      <c r="AU7" s="44">
        <v>9339</v>
      </c>
      <c r="AV7" s="44">
        <v>1040</v>
      </c>
      <c r="AW7" s="44">
        <v>1.36</v>
      </c>
      <c r="AX7" s="44">
        <v>7.57</v>
      </c>
      <c r="AY7" s="44">
        <v>2.95</v>
      </c>
      <c r="AZ7" s="44" t="s">
        <v>98</v>
      </c>
      <c r="BA7" s="44"/>
      <c r="BB7" s="44"/>
      <c r="BC7" s="44">
        <v>9357</v>
      </c>
      <c r="BD7" s="44">
        <v>6800</v>
      </c>
      <c r="BE7" s="44">
        <v>1.39</v>
      </c>
      <c r="BF7" s="44">
        <v>7.76</v>
      </c>
      <c r="BG7" s="44">
        <v>4.0599999999999996</v>
      </c>
      <c r="BH7" s="44" t="s">
        <v>86</v>
      </c>
      <c r="BI7" s="44"/>
      <c r="BJ7" s="44"/>
      <c r="BK7" s="44">
        <v>9291</v>
      </c>
      <c r="BL7" s="44">
        <v>4300</v>
      </c>
      <c r="BM7" s="44">
        <v>1.18</v>
      </c>
      <c r="BN7" s="44">
        <v>8.08</v>
      </c>
      <c r="BO7" s="44">
        <v>4.32</v>
      </c>
      <c r="BP7" s="44" t="s">
        <v>98</v>
      </c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>
        <v>72.66</v>
      </c>
      <c r="CR7" s="47">
        <v>73.930000000000007</v>
      </c>
      <c r="CS7" s="44">
        <v>21.486000000000001</v>
      </c>
      <c r="CT7" s="44"/>
    </row>
    <row r="8" spans="1:98" ht="15.75" customHeight="1">
      <c r="A8" s="43">
        <v>7</v>
      </c>
      <c r="B8" s="44">
        <v>677</v>
      </c>
      <c r="C8" s="44" t="s">
        <v>103</v>
      </c>
      <c r="D8" s="44">
        <v>5</v>
      </c>
      <c r="E8" s="44">
        <v>30960</v>
      </c>
      <c r="F8" s="44">
        <v>27300</v>
      </c>
      <c r="G8" s="44">
        <v>1.24</v>
      </c>
      <c r="H8" s="44">
        <v>7.84</v>
      </c>
      <c r="I8" s="44">
        <v>4.0199999999999996</v>
      </c>
      <c r="J8" s="44">
        <v>21</v>
      </c>
      <c r="K8" s="44">
        <v>2</v>
      </c>
      <c r="L8" s="44">
        <v>3</v>
      </c>
      <c r="M8" s="44">
        <v>0</v>
      </c>
      <c r="N8" s="44" t="s">
        <v>99</v>
      </c>
      <c r="O8" s="44">
        <v>9401</v>
      </c>
      <c r="P8" s="44">
        <v>5420</v>
      </c>
      <c r="Q8" s="44">
        <v>1.26</v>
      </c>
      <c r="R8" s="44">
        <v>7.88</v>
      </c>
      <c r="S8" s="44">
        <v>4</v>
      </c>
      <c r="T8" s="44" t="s">
        <v>98</v>
      </c>
      <c r="U8" s="44"/>
      <c r="V8" s="44"/>
      <c r="W8" s="44">
        <v>9400</v>
      </c>
      <c r="X8" s="44">
        <v>5760</v>
      </c>
      <c r="Y8" s="44">
        <v>1.1299999999999999</v>
      </c>
      <c r="Z8" s="44">
        <v>7.91</v>
      </c>
      <c r="AA8" s="44">
        <v>3.4</v>
      </c>
      <c r="AB8" s="44" t="s">
        <v>98</v>
      </c>
      <c r="AC8" s="44"/>
      <c r="AD8" s="44"/>
      <c r="AE8" s="44">
        <v>9248</v>
      </c>
      <c r="AF8" s="44">
        <v>6500</v>
      </c>
      <c r="AG8" s="44">
        <v>1.49</v>
      </c>
      <c r="AH8" s="44">
        <v>7.77</v>
      </c>
      <c r="AI8" s="44">
        <v>3.06</v>
      </c>
      <c r="AJ8" s="44" t="s">
        <v>86</v>
      </c>
      <c r="AK8" s="44"/>
      <c r="AL8" s="44"/>
      <c r="AM8" s="44">
        <v>9378</v>
      </c>
      <c r="AN8" s="44">
        <v>8160</v>
      </c>
      <c r="AO8" s="44">
        <v>1.18</v>
      </c>
      <c r="AP8" s="44">
        <v>7.93</v>
      </c>
      <c r="AQ8" s="44">
        <v>5.77</v>
      </c>
      <c r="AR8" s="44" t="s">
        <v>98</v>
      </c>
      <c r="AS8" s="44"/>
      <c r="AT8" s="44"/>
      <c r="AU8" s="44">
        <v>9370</v>
      </c>
      <c r="AV8" s="44">
        <v>5120</v>
      </c>
      <c r="AW8" s="44">
        <v>1.18</v>
      </c>
      <c r="AX8" s="44">
        <v>8.0399999999999991</v>
      </c>
      <c r="AY8" s="44">
        <v>3.02</v>
      </c>
      <c r="AZ8" s="44" t="s">
        <v>86</v>
      </c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>
        <v>72.5</v>
      </c>
      <c r="CR8" s="47">
        <v>73.739999999999995</v>
      </c>
      <c r="CS8" s="44">
        <v>21.341999999999999</v>
      </c>
      <c r="CT8" s="44"/>
    </row>
    <row r="9" spans="1:98" ht="15.75" customHeight="1">
      <c r="A9" s="43">
        <v>8</v>
      </c>
      <c r="B9" s="44">
        <v>678</v>
      </c>
      <c r="C9" s="44" t="s">
        <v>104</v>
      </c>
      <c r="D9" s="44">
        <v>6</v>
      </c>
      <c r="E9" s="44">
        <v>52020</v>
      </c>
      <c r="F9" s="44">
        <v>46800</v>
      </c>
      <c r="G9" s="44">
        <v>1.22</v>
      </c>
      <c r="H9" s="44">
        <v>7.84</v>
      </c>
      <c r="I9" s="44">
        <v>3.72</v>
      </c>
      <c r="J9" s="44">
        <v>21</v>
      </c>
      <c r="K9" s="44">
        <v>3</v>
      </c>
      <c r="L9" s="44">
        <v>3</v>
      </c>
      <c r="M9" s="44">
        <v>0</v>
      </c>
      <c r="N9" s="44" t="s">
        <v>99</v>
      </c>
      <c r="O9" s="44">
        <v>9359</v>
      </c>
      <c r="P9" s="44">
        <v>8300</v>
      </c>
      <c r="Q9" s="44">
        <v>1.22</v>
      </c>
      <c r="R9" s="44">
        <v>7.79</v>
      </c>
      <c r="S9" s="44">
        <v>4.34</v>
      </c>
      <c r="T9" s="44" t="s">
        <v>86</v>
      </c>
      <c r="U9" s="44"/>
      <c r="V9" s="44"/>
      <c r="W9" s="44">
        <v>9398</v>
      </c>
      <c r="X9" s="44">
        <v>8340</v>
      </c>
      <c r="Y9" s="44">
        <v>1.1599999999999999</v>
      </c>
      <c r="Z9" s="44">
        <v>7.73</v>
      </c>
      <c r="AA9" s="44">
        <v>4.28</v>
      </c>
      <c r="AB9" s="44" t="s">
        <v>98</v>
      </c>
      <c r="AC9" s="44"/>
      <c r="AD9" s="44"/>
      <c r="AE9" s="44">
        <v>9399</v>
      </c>
      <c r="AF9" s="44">
        <v>5900</v>
      </c>
      <c r="AG9" s="44">
        <v>1.54</v>
      </c>
      <c r="AH9" s="44">
        <v>7.86</v>
      </c>
      <c r="AI9" s="44">
        <v>3.61</v>
      </c>
      <c r="AJ9" s="44" t="s">
        <v>86</v>
      </c>
      <c r="AK9" s="44"/>
      <c r="AL9" s="44"/>
      <c r="AM9" s="44">
        <v>9369</v>
      </c>
      <c r="AN9" s="44">
        <v>7300</v>
      </c>
      <c r="AO9" s="44">
        <v>1.25</v>
      </c>
      <c r="AP9" s="44">
        <v>7.89</v>
      </c>
      <c r="AQ9" s="44">
        <v>3.16</v>
      </c>
      <c r="AR9" s="44" t="s">
        <v>98</v>
      </c>
      <c r="AS9" s="44"/>
      <c r="AT9" s="44"/>
      <c r="AU9" s="44">
        <v>9402</v>
      </c>
      <c r="AV9" s="44">
        <v>13160</v>
      </c>
      <c r="AW9" s="44">
        <v>1.1200000000000001</v>
      </c>
      <c r="AX9" s="44">
        <v>7.95</v>
      </c>
      <c r="AY9" s="44">
        <v>3.55</v>
      </c>
      <c r="AZ9" s="44" t="s">
        <v>98</v>
      </c>
      <c r="BA9" s="44"/>
      <c r="BB9" s="44"/>
      <c r="BC9" s="44">
        <v>9418</v>
      </c>
      <c r="BD9" s="44">
        <v>9020</v>
      </c>
      <c r="BE9" s="44">
        <v>1.19</v>
      </c>
      <c r="BF9" s="44">
        <v>8.0500000000000007</v>
      </c>
      <c r="BG9" s="44">
        <v>3.22</v>
      </c>
      <c r="BH9" s="44" t="s">
        <v>86</v>
      </c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>
        <v>69.72</v>
      </c>
      <c r="CR9" s="47">
        <v>70.94</v>
      </c>
      <c r="CS9" s="44">
        <v>20.507999999999999</v>
      </c>
      <c r="CT9" s="44"/>
    </row>
    <row r="10" spans="1:98" ht="15.75" customHeight="1">
      <c r="A10" s="43">
        <v>9</v>
      </c>
      <c r="B10" s="44">
        <v>679</v>
      </c>
      <c r="C10" s="44" t="s">
        <v>105</v>
      </c>
      <c r="D10" s="44">
        <v>5</v>
      </c>
      <c r="E10" s="44">
        <v>26500</v>
      </c>
      <c r="F10" s="44">
        <v>22300</v>
      </c>
      <c r="G10" s="44">
        <v>1.1599999999999999</v>
      </c>
      <c r="H10" s="44">
        <v>7.76</v>
      </c>
      <c r="I10" s="44">
        <v>4.16</v>
      </c>
      <c r="J10" s="44">
        <v>22</v>
      </c>
      <c r="K10" s="44">
        <v>1</v>
      </c>
      <c r="L10" s="44">
        <v>3</v>
      </c>
      <c r="M10" s="44">
        <v>1</v>
      </c>
      <c r="N10" s="44" t="s">
        <v>97</v>
      </c>
      <c r="O10" s="44">
        <v>9315</v>
      </c>
      <c r="P10" s="44">
        <v>5080</v>
      </c>
      <c r="Q10" s="44">
        <v>1.1000000000000001</v>
      </c>
      <c r="R10" s="44">
        <v>7.73</v>
      </c>
      <c r="S10" s="44">
        <v>1.81</v>
      </c>
      <c r="T10" s="44" t="s">
        <v>98</v>
      </c>
      <c r="U10" s="44"/>
      <c r="V10" s="44"/>
      <c r="W10" s="44">
        <v>9419</v>
      </c>
      <c r="X10" s="44">
        <v>7060</v>
      </c>
      <c r="Y10" s="44">
        <v>1.22</v>
      </c>
      <c r="Z10" s="44">
        <v>7.79</v>
      </c>
      <c r="AA10" s="44">
        <v>3.36</v>
      </c>
      <c r="AB10" s="44" t="s">
        <v>86</v>
      </c>
      <c r="AC10" s="44"/>
      <c r="AD10" s="44"/>
      <c r="AE10" s="44">
        <v>9379</v>
      </c>
      <c r="AF10" s="44">
        <v>1660</v>
      </c>
      <c r="AG10" s="44">
        <v>1.19</v>
      </c>
      <c r="AH10" s="44">
        <v>7.82</v>
      </c>
      <c r="AI10" s="44">
        <v>6.78</v>
      </c>
      <c r="AJ10" s="44" t="s">
        <v>106</v>
      </c>
      <c r="AK10" s="44"/>
      <c r="AL10" s="44"/>
      <c r="AM10" s="44">
        <v>8872</v>
      </c>
      <c r="AN10" s="44">
        <v>8040</v>
      </c>
      <c r="AO10" s="44">
        <v>1.22</v>
      </c>
      <c r="AP10" s="44">
        <v>7.75</v>
      </c>
      <c r="AQ10" s="44">
        <v>5.96</v>
      </c>
      <c r="AR10" s="44" t="s">
        <v>98</v>
      </c>
      <c r="AS10" s="44"/>
      <c r="AT10" s="44"/>
      <c r="AU10" s="44">
        <v>9427</v>
      </c>
      <c r="AV10" s="44">
        <v>4660</v>
      </c>
      <c r="AW10" s="44">
        <v>1.01</v>
      </c>
      <c r="AX10" s="44">
        <v>7.89</v>
      </c>
      <c r="AY10" s="44">
        <v>3.42</v>
      </c>
      <c r="AZ10" s="44" t="s">
        <v>98</v>
      </c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>
        <v>73.12</v>
      </c>
      <c r="CR10" s="47">
        <v>74.28</v>
      </c>
      <c r="CS10" s="44">
        <v>21.623999999999999</v>
      </c>
      <c r="CT10" s="44"/>
    </row>
    <row r="11" spans="1:98" ht="15.75" customHeight="1">
      <c r="A11" s="43">
        <v>10</v>
      </c>
      <c r="B11" s="44">
        <v>681</v>
      </c>
      <c r="C11" s="44" t="s">
        <v>107</v>
      </c>
      <c r="D11" s="44">
        <v>5</v>
      </c>
      <c r="E11" s="44">
        <v>35980</v>
      </c>
      <c r="F11" s="44">
        <v>31200</v>
      </c>
      <c r="G11" s="44">
        <v>1.32</v>
      </c>
      <c r="H11" s="44">
        <v>7.8</v>
      </c>
      <c r="I11" s="44">
        <v>3.46</v>
      </c>
      <c r="J11" s="44">
        <v>20</v>
      </c>
      <c r="K11" s="44">
        <v>3</v>
      </c>
      <c r="L11" s="44">
        <v>2</v>
      </c>
      <c r="M11" s="44">
        <v>0</v>
      </c>
      <c r="N11" s="44" t="s">
        <v>99</v>
      </c>
      <c r="O11" s="44">
        <v>9435</v>
      </c>
      <c r="P11" s="44">
        <v>7540</v>
      </c>
      <c r="Q11" s="44">
        <v>1.1200000000000001</v>
      </c>
      <c r="R11" s="44">
        <v>7.85</v>
      </c>
      <c r="S11" s="44">
        <v>3.3</v>
      </c>
      <c r="T11" s="44" t="s">
        <v>98</v>
      </c>
      <c r="U11" s="44"/>
      <c r="V11" s="44"/>
      <c r="W11" s="44">
        <v>9404</v>
      </c>
      <c r="X11" s="44">
        <v>5740</v>
      </c>
      <c r="Y11" s="44">
        <v>1.1399999999999999</v>
      </c>
      <c r="Z11" s="44">
        <v>7.79</v>
      </c>
      <c r="AA11" s="44">
        <v>3.71</v>
      </c>
      <c r="AB11" s="44" t="s">
        <v>98</v>
      </c>
      <c r="AC11" s="44"/>
      <c r="AD11" s="44"/>
      <c r="AE11" s="44">
        <v>9428</v>
      </c>
      <c r="AF11" s="44">
        <v>7480</v>
      </c>
      <c r="AG11" s="44">
        <v>1.75</v>
      </c>
      <c r="AH11" s="44">
        <v>7.69</v>
      </c>
      <c r="AI11" s="44">
        <v>4.24</v>
      </c>
      <c r="AJ11" s="44" t="s">
        <v>86</v>
      </c>
      <c r="AK11" s="44"/>
      <c r="AL11" s="44"/>
      <c r="AM11" s="44">
        <v>9403</v>
      </c>
      <c r="AN11" s="44">
        <v>7800</v>
      </c>
      <c r="AO11" s="44">
        <v>1.38</v>
      </c>
      <c r="AP11" s="44">
        <v>8.0399999999999991</v>
      </c>
      <c r="AQ11" s="44">
        <v>3.19</v>
      </c>
      <c r="AR11" s="44" t="s">
        <v>86</v>
      </c>
      <c r="AS11" s="44"/>
      <c r="AT11" s="44"/>
      <c r="AU11" s="44">
        <v>9368</v>
      </c>
      <c r="AV11" s="44">
        <v>7420</v>
      </c>
      <c r="AW11" s="44">
        <v>1.23</v>
      </c>
      <c r="AX11" s="44">
        <v>7.93</v>
      </c>
      <c r="AY11" s="44">
        <v>2.94</v>
      </c>
      <c r="AZ11" s="44" t="s">
        <v>86</v>
      </c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>
        <v>67.62</v>
      </c>
      <c r="CR11" s="47">
        <v>68.94</v>
      </c>
      <c r="CS11" s="44">
        <v>19.925999999999998</v>
      </c>
      <c r="CT11" s="44"/>
    </row>
    <row r="12" spans="1:98" ht="15.75" customHeight="1">
      <c r="A12" s="43">
        <v>11</v>
      </c>
      <c r="B12" s="44">
        <v>682</v>
      </c>
      <c r="C12" s="44" t="s">
        <v>108</v>
      </c>
      <c r="D12" s="44">
        <v>5</v>
      </c>
      <c r="E12" s="44">
        <v>36220</v>
      </c>
      <c r="F12" s="44">
        <v>31200</v>
      </c>
      <c r="G12" s="44">
        <v>1.22</v>
      </c>
      <c r="H12" s="44">
        <v>7.9</v>
      </c>
      <c r="I12" s="44">
        <v>3.57</v>
      </c>
      <c r="J12" s="44">
        <v>20</v>
      </c>
      <c r="K12" s="44">
        <v>3</v>
      </c>
      <c r="L12" s="44">
        <v>2</v>
      </c>
      <c r="M12" s="44">
        <v>0</v>
      </c>
      <c r="N12" s="44" t="s">
        <v>99</v>
      </c>
      <c r="O12" s="44">
        <v>9252</v>
      </c>
      <c r="P12" s="44">
        <v>4700</v>
      </c>
      <c r="Q12" s="44">
        <v>1.1000000000000001</v>
      </c>
      <c r="R12" s="44">
        <v>7.97</v>
      </c>
      <c r="S12" s="44">
        <v>3.22</v>
      </c>
      <c r="T12" s="44" t="s">
        <v>98</v>
      </c>
      <c r="U12" s="44"/>
      <c r="V12" s="44"/>
      <c r="W12" s="44">
        <v>9457</v>
      </c>
      <c r="X12" s="44">
        <v>10480</v>
      </c>
      <c r="Y12" s="44">
        <v>1.1200000000000001</v>
      </c>
      <c r="Z12" s="44">
        <v>7.95</v>
      </c>
      <c r="AA12" s="44">
        <v>3.18</v>
      </c>
      <c r="AB12" s="44" t="s">
        <v>86</v>
      </c>
      <c r="AC12" s="44"/>
      <c r="AD12" s="44"/>
      <c r="AE12" s="44">
        <v>9367</v>
      </c>
      <c r="AF12" s="44">
        <v>7340</v>
      </c>
      <c r="AG12" s="44">
        <v>1.47</v>
      </c>
      <c r="AH12" s="44">
        <v>7.78</v>
      </c>
      <c r="AI12" s="44">
        <v>3.12</v>
      </c>
      <c r="AJ12" s="44" t="s">
        <v>86</v>
      </c>
      <c r="AK12" s="44"/>
      <c r="AL12" s="44"/>
      <c r="AM12" s="44">
        <v>9330</v>
      </c>
      <c r="AN12" s="44">
        <v>6860</v>
      </c>
      <c r="AO12" s="44">
        <v>1.1200000000000001</v>
      </c>
      <c r="AP12" s="44">
        <v>7.97</v>
      </c>
      <c r="AQ12" s="44">
        <v>3.74</v>
      </c>
      <c r="AR12" s="44" t="s">
        <v>98</v>
      </c>
      <c r="AS12" s="44"/>
      <c r="AT12" s="44"/>
      <c r="AU12" s="44">
        <v>9462</v>
      </c>
      <c r="AV12" s="44">
        <v>6840</v>
      </c>
      <c r="AW12" s="44">
        <v>1.26</v>
      </c>
      <c r="AX12" s="44">
        <v>7.84</v>
      </c>
      <c r="AY12" s="44">
        <v>4.41</v>
      </c>
      <c r="AZ12" s="44" t="s">
        <v>86</v>
      </c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>
        <v>68.61</v>
      </c>
      <c r="CR12" s="47">
        <v>69.83</v>
      </c>
      <c r="CS12" s="44">
        <v>20.103000000000002</v>
      </c>
      <c r="CT12" s="44"/>
    </row>
    <row r="13" spans="1:98" ht="15.75" customHeight="1">
      <c r="A13" s="43">
        <v>12</v>
      </c>
      <c r="B13" s="44">
        <v>683</v>
      </c>
      <c r="C13" s="44" t="s">
        <v>109</v>
      </c>
      <c r="D13" s="44">
        <v>6</v>
      </c>
      <c r="E13" s="44">
        <v>36280</v>
      </c>
      <c r="F13" s="44">
        <v>31200</v>
      </c>
      <c r="G13" s="44">
        <v>1.35</v>
      </c>
      <c r="H13" s="44">
        <v>7.71</v>
      </c>
      <c r="I13" s="44">
        <v>4.0599999999999996</v>
      </c>
      <c r="J13" s="44">
        <v>22</v>
      </c>
      <c r="K13" s="44">
        <v>5</v>
      </c>
      <c r="L13" s="44">
        <v>0</v>
      </c>
      <c r="M13" s="44">
        <v>1</v>
      </c>
      <c r="N13" s="44" t="s">
        <v>99</v>
      </c>
      <c r="O13" s="44">
        <v>9410</v>
      </c>
      <c r="P13" s="44">
        <v>9740</v>
      </c>
      <c r="Q13" s="44">
        <v>1.27</v>
      </c>
      <c r="R13" s="44">
        <v>7.72</v>
      </c>
      <c r="S13" s="44">
        <v>3.63</v>
      </c>
      <c r="T13" s="44" t="s">
        <v>86</v>
      </c>
      <c r="U13" s="44"/>
      <c r="V13" s="44"/>
      <c r="W13" s="44">
        <v>9458</v>
      </c>
      <c r="X13" s="44">
        <v>8320</v>
      </c>
      <c r="Y13" s="44">
        <v>1.1100000000000001</v>
      </c>
      <c r="Z13" s="44">
        <v>7.91</v>
      </c>
      <c r="AA13" s="44">
        <v>3.11</v>
      </c>
      <c r="AB13" s="44" t="s">
        <v>86</v>
      </c>
      <c r="AC13" s="44"/>
      <c r="AD13" s="44"/>
      <c r="AE13" s="44">
        <v>9485</v>
      </c>
      <c r="AF13" s="44">
        <v>3760</v>
      </c>
      <c r="AG13" s="44">
        <v>1.46</v>
      </c>
      <c r="AH13" s="44">
        <v>7.74</v>
      </c>
      <c r="AI13" s="44">
        <v>5.09</v>
      </c>
      <c r="AJ13" s="44" t="s">
        <v>86</v>
      </c>
      <c r="AK13" s="44"/>
      <c r="AL13" s="44"/>
      <c r="AM13" s="44">
        <v>9480</v>
      </c>
      <c r="AN13" s="44">
        <v>8200</v>
      </c>
      <c r="AO13" s="44">
        <v>1.49</v>
      </c>
      <c r="AP13" s="44">
        <v>7.52</v>
      </c>
      <c r="AQ13" s="44">
        <v>3.68</v>
      </c>
      <c r="AR13" s="44" t="s">
        <v>86</v>
      </c>
      <c r="AS13" s="44"/>
      <c r="AT13" s="44"/>
      <c r="AU13" s="44">
        <v>9459</v>
      </c>
      <c r="AV13" s="44">
        <v>1000</v>
      </c>
      <c r="AW13" s="44">
        <v>1.67</v>
      </c>
      <c r="AX13" s="44">
        <v>7.17</v>
      </c>
      <c r="AY13" s="44">
        <v>8.6999999999999993</v>
      </c>
      <c r="AZ13" s="44" t="s">
        <v>106</v>
      </c>
      <c r="BA13" s="44"/>
      <c r="BB13" s="44"/>
      <c r="BC13" s="44">
        <v>9460</v>
      </c>
      <c r="BD13" s="44">
        <v>5260</v>
      </c>
      <c r="BE13" s="44">
        <v>1.49</v>
      </c>
      <c r="BF13" s="44">
        <v>7.79</v>
      </c>
      <c r="BG13" s="44">
        <v>5.04</v>
      </c>
      <c r="BH13" s="44" t="s">
        <v>86</v>
      </c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>
        <v>72.78</v>
      </c>
      <c r="CR13" s="47">
        <v>74.13</v>
      </c>
      <c r="CS13" s="44">
        <v>21.582000000000001</v>
      </c>
      <c r="CT13" s="44"/>
    </row>
    <row r="14" spans="1:98" ht="15.75" customHeight="1">
      <c r="A14" s="43">
        <v>13</v>
      </c>
      <c r="B14" s="44">
        <v>684</v>
      </c>
      <c r="C14" s="44" t="s">
        <v>110</v>
      </c>
      <c r="D14" s="44">
        <v>7</v>
      </c>
      <c r="E14" s="44">
        <v>36240</v>
      </c>
      <c r="F14" s="44">
        <v>31200</v>
      </c>
      <c r="G14" s="44">
        <v>1.21</v>
      </c>
      <c r="H14" s="44">
        <v>7.84</v>
      </c>
      <c r="I14" s="44">
        <v>3.76</v>
      </c>
      <c r="J14" s="44">
        <v>21</v>
      </c>
      <c r="K14" s="44">
        <v>2</v>
      </c>
      <c r="L14" s="44">
        <v>4</v>
      </c>
      <c r="M14" s="44">
        <v>1</v>
      </c>
      <c r="N14" s="44" t="s">
        <v>99</v>
      </c>
      <c r="O14" s="44">
        <v>9405</v>
      </c>
      <c r="P14" s="44">
        <v>8800</v>
      </c>
      <c r="Q14" s="44">
        <v>1.0900000000000001</v>
      </c>
      <c r="R14" s="44">
        <v>7.87</v>
      </c>
      <c r="S14" s="44">
        <v>3.42</v>
      </c>
      <c r="T14" s="44" t="s">
        <v>98</v>
      </c>
      <c r="U14" s="44"/>
      <c r="V14" s="44"/>
      <c r="W14" s="44">
        <v>9406</v>
      </c>
      <c r="X14" s="44">
        <v>6140</v>
      </c>
      <c r="Y14" s="44">
        <v>1.0900000000000001</v>
      </c>
      <c r="Z14" s="44">
        <v>7.95</v>
      </c>
      <c r="AA14" s="44">
        <v>2.84</v>
      </c>
      <c r="AB14" s="44" t="s">
        <v>98</v>
      </c>
      <c r="AC14" s="44"/>
      <c r="AD14" s="44"/>
      <c r="AE14" s="44">
        <v>9501</v>
      </c>
      <c r="AF14" s="44">
        <v>3580</v>
      </c>
      <c r="AG14" s="44">
        <v>1.22</v>
      </c>
      <c r="AH14" s="44">
        <v>7.89</v>
      </c>
      <c r="AI14" s="44">
        <v>3.38</v>
      </c>
      <c r="AJ14" s="44" t="s">
        <v>106</v>
      </c>
      <c r="AK14" s="44"/>
      <c r="AL14" s="44"/>
      <c r="AM14" s="44">
        <v>9407</v>
      </c>
      <c r="AN14" s="44">
        <v>3100</v>
      </c>
      <c r="AO14" s="44">
        <v>1.1599999999999999</v>
      </c>
      <c r="AP14" s="44">
        <v>7.67</v>
      </c>
      <c r="AQ14" s="44">
        <v>3.05</v>
      </c>
      <c r="AR14" s="44" t="s">
        <v>98</v>
      </c>
      <c r="AS14" s="44"/>
      <c r="AT14" s="44"/>
      <c r="AU14" s="44">
        <v>9356</v>
      </c>
      <c r="AV14" s="44">
        <v>8000</v>
      </c>
      <c r="AW14" s="44">
        <v>1.46</v>
      </c>
      <c r="AX14" s="44">
        <v>7.91</v>
      </c>
      <c r="AY14" s="44">
        <v>4.08</v>
      </c>
      <c r="AZ14" s="44" t="s">
        <v>86</v>
      </c>
      <c r="BA14" s="44"/>
      <c r="BB14" s="44"/>
      <c r="BC14" s="44">
        <v>9416</v>
      </c>
      <c r="BD14" s="44">
        <v>4780</v>
      </c>
      <c r="BE14" s="44">
        <v>1.25</v>
      </c>
      <c r="BF14" s="44">
        <v>7.73</v>
      </c>
      <c r="BG14" s="44">
        <v>6.19</v>
      </c>
      <c r="BH14" s="44" t="s">
        <v>98</v>
      </c>
      <c r="BI14" s="44"/>
      <c r="BJ14" s="44"/>
      <c r="BK14" s="44">
        <v>9443</v>
      </c>
      <c r="BL14" s="44">
        <v>1840</v>
      </c>
      <c r="BM14" s="44">
        <v>1.36</v>
      </c>
      <c r="BN14" s="44">
        <v>7.85</v>
      </c>
      <c r="BO14" s="44">
        <v>2.5</v>
      </c>
      <c r="BP14" s="44" t="s">
        <v>86</v>
      </c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>
        <v>70.040000000000006</v>
      </c>
      <c r="CR14" s="47">
        <v>71.25</v>
      </c>
      <c r="CS14" s="44">
        <v>20.603999999999999</v>
      </c>
      <c r="CT14" s="44"/>
    </row>
    <row r="15" spans="1:98" ht="15.75" customHeight="1">
      <c r="A15" s="43">
        <v>14</v>
      </c>
      <c r="B15" s="44">
        <v>685</v>
      </c>
      <c r="C15" s="45">
        <v>45385</v>
      </c>
      <c r="D15" s="44">
        <v>5</v>
      </c>
      <c r="E15" s="44">
        <v>35740</v>
      </c>
      <c r="F15" s="44">
        <v>31200</v>
      </c>
      <c r="G15" s="44">
        <v>1.25</v>
      </c>
      <c r="H15" s="44">
        <v>7.87</v>
      </c>
      <c r="I15" s="44">
        <v>3.46</v>
      </c>
      <c r="J15" s="44">
        <v>20</v>
      </c>
      <c r="K15" s="44">
        <v>4</v>
      </c>
      <c r="L15" s="44">
        <v>1</v>
      </c>
      <c r="M15" s="44">
        <v>0</v>
      </c>
      <c r="N15" s="44" t="s">
        <v>99</v>
      </c>
      <c r="O15" s="44">
        <v>9467</v>
      </c>
      <c r="P15" s="44">
        <v>7420</v>
      </c>
      <c r="Q15" s="44">
        <v>1.1200000000000001</v>
      </c>
      <c r="R15" s="44">
        <v>7.79</v>
      </c>
      <c r="S15" s="44">
        <v>4.03</v>
      </c>
      <c r="T15" s="44" t="s">
        <v>98</v>
      </c>
      <c r="U15" s="44"/>
      <c r="V15" s="44"/>
      <c r="W15" s="44">
        <v>9526</v>
      </c>
      <c r="X15" s="44">
        <v>7820</v>
      </c>
      <c r="Y15" s="44">
        <v>1.1399999999999999</v>
      </c>
      <c r="Z15" s="44">
        <v>8.09</v>
      </c>
      <c r="AA15" s="44">
        <v>3.17</v>
      </c>
      <c r="AB15" s="44" t="s">
        <v>86</v>
      </c>
      <c r="AC15" s="44"/>
      <c r="AD15" s="44"/>
      <c r="AE15" s="44">
        <v>9520</v>
      </c>
      <c r="AF15" s="44">
        <v>6960</v>
      </c>
      <c r="AG15" s="44">
        <v>1.32</v>
      </c>
      <c r="AH15" s="44">
        <v>7.86</v>
      </c>
      <c r="AI15" s="44">
        <v>4</v>
      </c>
      <c r="AJ15" s="44" t="s">
        <v>86</v>
      </c>
      <c r="AK15" s="44"/>
      <c r="AL15" s="44"/>
      <c r="AM15" s="44">
        <v>9524</v>
      </c>
      <c r="AN15" s="44">
        <v>4340</v>
      </c>
      <c r="AO15" s="44">
        <v>1.25</v>
      </c>
      <c r="AP15" s="44">
        <v>7.95</v>
      </c>
      <c r="AQ15" s="44">
        <v>3.39</v>
      </c>
      <c r="AR15" s="44" t="s">
        <v>86</v>
      </c>
      <c r="AS15" s="44"/>
      <c r="AT15" s="44"/>
      <c r="AU15" s="44">
        <v>9529</v>
      </c>
      <c r="AV15" s="44">
        <v>9200</v>
      </c>
      <c r="AW15" s="44">
        <v>1.44</v>
      </c>
      <c r="AX15" s="44">
        <v>7.68</v>
      </c>
      <c r="AY15" s="44">
        <v>2.85</v>
      </c>
      <c r="AZ15" s="44" t="s">
        <v>86</v>
      </c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>
        <v>67.62</v>
      </c>
      <c r="CR15" s="47">
        <v>68.87</v>
      </c>
      <c r="CS15" s="44">
        <v>19.841999999999999</v>
      </c>
      <c r="CT15" s="44"/>
    </row>
    <row r="16" spans="1:98" ht="15.75" customHeight="1">
      <c r="A16" s="43">
        <v>15</v>
      </c>
      <c r="B16" s="44">
        <v>686</v>
      </c>
      <c r="C16" s="45">
        <v>45415</v>
      </c>
      <c r="D16" s="44">
        <v>5</v>
      </c>
      <c r="E16" s="44">
        <v>44060</v>
      </c>
      <c r="F16" s="44">
        <v>39000</v>
      </c>
      <c r="G16" s="44">
        <v>1.17</v>
      </c>
      <c r="H16" s="44">
        <v>7.75</v>
      </c>
      <c r="I16" s="44">
        <v>3.65</v>
      </c>
      <c r="J16" s="44">
        <v>20</v>
      </c>
      <c r="K16" s="44">
        <v>2</v>
      </c>
      <c r="L16" s="44">
        <v>3</v>
      </c>
      <c r="M16" s="44">
        <v>0</v>
      </c>
      <c r="N16" s="44" t="s">
        <v>97</v>
      </c>
      <c r="O16" s="44">
        <v>9536</v>
      </c>
      <c r="P16" s="44">
        <v>4740</v>
      </c>
      <c r="Q16" s="44">
        <v>1.07</v>
      </c>
      <c r="R16" s="44">
        <v>7.8</v>
      </c>
      <c r="S16" s="44">
        <v>1.99</v>
      </c>
      <c r="T16" s="44" t="s">
        <v>98</v>
      </c>
      <c r="U16" s="44"/>
      <c r="V16" s="44"/>
      <c r="W16" s="44">
        <v>9533</v>
      </c>
      <c r="X16" s="44">
        <v>12200</v>
      </c>
      <c r="Y16" s="44">
        <v>1.1599999999999999</v>
      </c>
      <c r="Z16" s="44">
        <v>7.66</v>
      </c>
      <c r="AA16" s="44">
        <v>3.41</v>
      </c>
      <c r="AB16" s="44" t="s">
        <v>86</v>
      </c>
      <c r="AC16" s="44"/>
      <c r="AD16" s="44"/>
      <c r="AE16" s="44">
        <v>9481</v>
      </c>
      <c r="AF16" s="44">
        <v>13120</v>
      </c>
      <c r="AG16" s="44">
        <v>1.33</v>
      </c>
      <c r="AH16" s="44">
        <v>7.66</v>
      </c>
      <c r="AI16" s="44">
        <v>3.51</v>
      </c>
      <c r="AJ16" s="44" t="s">
        <v>86</v>
      </c>
      <c r="AK16" s="44"/>
      <c r="AL16" s="44"/>
      <c r="AM16" s="44">
        <v>9542</v>
      </c>
      <c r="AN16" s="44">
        <v>5100</v>
      </c>
      <c r="AO16" s="44">
        <v>1.1599999999999999</v>
      </c>
      <c r="AP16" s="44">
        <v>8.02</v>
      </c>
      <c r="AQ16" s="44">
        <v>3.18</v>
      </c>
      <c r="AR16" s="44" t="s">
        <v>98</v>
      </c>
      <c r="AS16" s="44"/>
      <c r="AT16" s="44"/>
      <c r="AU16" s="44">
        <v>9546</v>
      </c>
      <c r="AV16" s="44">
        <v>8900</v>
      </c>
      <c r="AW16" s="44">
        <v>1</v>
      </c>
      <c r="AX16" s="44">
        <v>7.83</v>
      </c>
      <c r="AY16" s="44">
        <v>5.33</v>
      </c>
      <c r="AZ16" s="44" t="s">
        <v>98</v>
      </c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>
        <v>68.53</v>
      </c>
      <c r="CR16" s="47">
        <v>69.7</v>
      </c>
      <c r="CS16" s="44">
        <v>20.259</v>
      </c>
      <c r="CT16" s="44"/>
    </row>
    <row r="17" spans="1:98" ht="15.75" customHeight="1">
      <c r="A17" s="43">
        <v>16</v>
      </c>
      <c r="B17" s="44">
        <v>687</v>
      </c>
      <c r="C17" s="45">
        <v>45446</v>
      </c>
      <c r="D17" s="44">
        <v>5</v>
      </c>
      <c r="E17" s="44">
        <v>36800</v>
      </c>
      <c r="F17" s="44">
        <v>31200</v>
      </c>
      <c r="G17" s="44">
        <v>1.0900000000000001</v>
      </c>
      <c r="H17" s="44">
        <v>7.86</v>
      </c>
      <c r="I17" s="44">
        <v>3.8</v>
      </c>
      <c r="J17" s="44">
        <v>21</v>
      </c>
      <c r="K17" s="44">
        <v>0</v>
      </c>
      <c r="L17" s="44">
        <v>5</v>
      </c>
      <c r="M17" s="44">
        <v>0</v>
      </c>
      <c r="N17" s="44" t="s">
        <v>97</v>
      </c>
      <c r="O17" s="44">
        <v>9517</v>
      </c>
      <c r="P17" s="44">
        <v>6760</v>
      </c>
      <c r="Q17" s="44">
        <v>1.1399999999999999</v>
      </c>
      <c r="R17" s="44">
        <v>7.95</v>
      </c>
      <c r="S17" s="44">
        <v>2.42</v>
      </c>
      <c r="T17" s="44" t="s">
        <v>98</v>
      </c>
      <c r="U17" s="44"/>
      <c r="V17" s="44"/>
      <c r="W17" s="44">
        <v>9393</v>
      </c>
      <c r="X17" s="44">
        <v>5900</v>
      </c>
      <c r="Y17" s="44">
        <v>1.04</v>
      </c>
      <c r="Z17" s="44">
        <v>7.8</v>
      </c>
      <c r="AA17" s="44">
        <v>2.0099999999999998</v>
      </c>
      <c r="AB17" s="44" t="s">
        <v>98</v>
      </c>
      <c r="AC17" s="44"/>
      <c r="AD17" s="44"/>
      <c r="AE17" s="44">
        <v>9543</v>
      </c>
      <c r="AF17" s="44">
        <v>4740</v>
      </c>
      <c r="AG17" s="44">
        <v>1.23</v>
      </c>
      <c r="AH17" s="44">
        <v>8.2799999999999994</v>
      </c>
      <c r="AI17" s="44">
        <v>3.91</v>
      </c>
      <c r="AJ17" s="44" t="s">
        <v>98</v>
      </c>
      <c r="AK17" s="44"/>
      <c r="AL17" s="44"/>
      <c r="AM17" s="44">
        <v>9476</v>
      </c>
      <c r="AN17" s="44">
        <v>10300</v>
      </c>
      <c r="AO17" s="44">
        <v>1.1100000000000001</v>
      </c>
      <c r="AP17" s="44">
        <v>7.95</v>
      </c>
      <c r="AQ17" s="44">
        <v>4.29</v>
      </c>
      <c r="AR17" s="44" t="s">
        <v>98</v>
      </c>
      <c r="AS17" s="44"/>
      <c r="AT17" s="44"/>
      <c r="AU17" s="44">
        <v>9547</v>
      </c>
      <c r="AV17" s="44">
        <v>9100</v>
      </c>
      <c r="AW17" s="44">
        <v>1.03</v>
      </c>
      <c r="AX17" s="44">
        <v>7.89</v>
      </c>
      <c r="AY17" s="44">
        <v>5.49</v>
      </c>
      <c r="AZ17" s="44" t="s">
        <v>98</v>
      </c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>
        <v>70</v>
      </c>
      <c r="CR17" s="47">
        <v>71.09</v>
      </c>
      <c r="CS17" s="44">
        <v>20.568000000000001</v>
      </c>
      <c r="CT17" s="44"/>
    </row>
    <row r="18" spans="1:98" ht="15.75" customHeight="1">
      <c r="A18" s="43">
        <v>17</v>
      </c>
      <c r="B18" s="44">
        <v>688</v>
      </c>
      <c r="C18" s="45">
        <v>45476</v>
      </c>
      <c r="D18" s="44">
        <v>4</v>
      </c>
      <c r="E18" s="44">
        <v>29760</v>
      </c>
      <c r="F18" s="44">
        <v>29800</v>
      </c>
      <c r="G18" s="44">
        <v>1.22</v>
      </c>
      <c r="H18" s="44">
        <v>7.69</v>
      </c>
      <c r="I18" s="44">
        <v>3.21</v>
      </c>
      <c r="J18" s="44">
        <v>19</v>
      </c>
      <c r="K18" s="44">
        <v>3</v>
      </c>
      <c r="L18" s="44">
        <v>1</v>
      </c>
      <c r="M18" s="44">
        <v>0</v>
      </c>
      <c r="N18" s="44" t="s">
        <v>111</v>
      </c>
      <c r="O18" s="44">
        <v>9482</v>
      </c>
      <c r="P18" s="44">
        <v>6200</v>
      </c>
      <c r="Q18" s="44">
        <v>1.24</v>
      </c>
      <c r="R18" s="44">
        <v>7.68</v>
      </c>
      <c r="S18" s="44">
        <v>3.11</v>
      </c>
      <c r="T18" s="44" t="s">
        <v>86</v>
      </c>
      <c r="U18" s="44"/>
      <c r="V18" s="44"/>
      <c r="W18" s="44">
        <v>9554</v>
      </c>
      <c r="X18" s="44">
        <v>10000</v>
      </c>
      <c r="Y18" s="44">
        <v>1.1200000000000001</v>
      </c>
      <c r="Z18" s="44">
        <v>7.8</v>
      </c>
      <c r="AA18" s="44">
        <v>3.28</v>
      </c>
      <c r="AB18" s="44" t="s">
        <v>86</v>
      </c>
      <c r="AC18" s="44"/>
      <c r="AD18" s="44"/>
      <c r="AE18" s="44">
        <v>9518</v>
      </c>
      <c r="AF18" s="44">
        <v>4380</v>
      </c>
      <c r="AG18" s="44">
        <v>1.1299999999999999</v>
      </c>
      <c r="AH18" s="44">
        <v>7.87</v>
      </c>
      <c r="AI18" s="44">
        <v>2.78</v>
      </c>
      <c r="AJ18" s="44" t="s">
        <v>98</v>
      </c>
      <c r="AK18" s="44"/>
      <c r="AL18" s="44"/>
      <c r="AM18" s="48">
        <v>9436</v>
      </c>
      <c r="AN18" s="44">
        <v>9180</v>
      </c>
      <c r="AO18" s="44">
        <v>1.41</v>
      </c>
      <c r="AP18" s="44">
        <v>7.5</v>
      </c>
      <c r="AQ18" s="44">
        <v>3.42</v>
      </c>
      <c r="AR18" s="44" t="s">
        <v>86</v>
      </c>
      <c r="AS18" s="44"/>
      <c r="AT18" s="44"/>
      <c r="AU18" s="49">
        <v>9484</v>
      </c>
      <c r="AV18" s="49">
        <v>6780</v>
      </c>
      <c r="AW18" s="49"/>
      <c r="AX18" s="49"/>
      <c r="AY18" s="49"/>
      <c r="AZ18" s="49" t="s">
        <v>86</v>
      </c>
      <c r="BA18" s="49" t="s">
        <v>112</v>
      </c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>
        <v>64.53</v>
      </c>
      <c r="CR18" s="47">
        <v>65.75</v>
      </c>
      <c r="CS18" s="44">
        <v>19.131</v>
      </c>
      <c r="CT18" s="44"/>
    </row>
    <row r="19" spans="1:98" ht="15.75" customHeight="1">
      <c r="A19" s="43">
        <v>18</v>
      </c>
      <c r="B19" s="44">
        <v>689</v>
      </c>
      <c r="C19" s="45">
        <v>45507</v>
      </c>
      <c r="D19" s="44">
        <v>6</v>
      </c>
      <c r="E19" s="44">
        <v>36150</v>
      </c>
      <c r="F19" s="44">
        <v>31200</v>
      </c>
      <c r="G19" s="44">
        <v>1.32</v>
      </c>
      <c r="H19" s="44">
        <v>7.79</v>
      </c>
      <c r="I19" s="44">
        <v>3.75</v>
      </c>
      <c r="J19" s="44">
        <v>21</v>
      </c>
      <c r="K19" s="44">
        <v>4</v>
      </c>
      <c r="L19" s="44">
        <v>2</v>
      </c>
      <c r="M19" s="44">
        <v>0</v>
      </c>
      <c r="N19" s="44" t="s">
        <v>99</v>
      </c>
      <c r="O19" s="44">
        <v>9523</v>
      </c>
      <c r="P19" s="44">
        <v>9110</v>
      </c>
      <c r="Q19" s="44">
        <v>1.47</v>
      </c>
      <c r="R19" s="44">
        <v>8.1300000000000008</v>
      </c>
      <c r="S19" s="44">
        <v>3.75</v>
      </c>
      <c r="T19" s="44" t="s">
        <v>86</v>
      </c>
      <c r="U19" s="44"/>
      <c r="V19" s="44"/>
      <c r="W19" s="44">
        <v>9479</v>
      </c>
      <c r="X19" s="44">
        <v>5680</v>
      </c>
      <c r="Y19" s="44">
        <v>1.76</v>
      </c>
      <c r="Z19" s="44">
        <v>7.58</v>
      </c>
      <c r="AA19" s="44">
        <v>4.01</v>
      </c>
      <c r="AB19" s="44" t="s">
        <v>86</v>
      </c>
      <c r="AC19" s="44"/>
      <c r="AD19" s="44"/>
      <c r="AE19" s="44">
        <v>9555</v>
      </c>
      <c r="AF19" s="44">
        <v>8500</v>
      </c>
      <c r="AG19" s="44">
        <v>1.1100000000000001</v>
      </c>
      <c r="AH19" s="44">
        <v>7.81</v>
      </c>
      <c r="AI19" s="44">
        <v>3.29</v>
      </c>
      <c r="AJ19" s="44" t="s">
        <v>86</v>
      </c>
      <c r="AK19" s="44"/>
      <c r="AL19" s="44"/>
      <c r="AM19" s="44">
        <v>9465</v>
      </c>
      <c r="AN19" s="44">
        <v>4600</v>
      </c>
      <c r="AO19" s="44">
        <v>1.2</v>
      </c>
      <c r="AP19" s="44">
        <v>8.11</v>
      </c>
      <c r="AQ19" s="44">
        <v>4.22</v>
      </c>
      <c r="AR19" s="44" t="s">
        <v>86</v>
      </c>
      <c r="AS19" s="44"/>
      <c r="AT19" s="44"/>
      <c r="AU19" s="44">
        <v>9562</v>
      </c>
      <c r="AV19" s="44">
        <v>1980</v>
      </c>
      <c r="AW19" s="44">
        <v>1.18</v>
      </c>
      <c r="AX19" s="44">
        <v>7.85</v>
      </c>
      <c r="AY19" s="44">
        <v>3.58</v>
      </c>
      <c r="AZ19" s="44" t="s">
        <v>98</v>
      </c>
      <c r="BA19" s="44"/>
      <c r="BB19" s="44"/>
      <c r="BC19" s="44">
        <v>9521</v>
      </c>
      <c r="BD19" s="44">
        <v>6280</v>
      </c>
      <c r="BE19" s="44">
        <v>1.25</v>
      </c>
      <c r="BF19" s="44">
        <v>7.83</v>
      </c>
      <c r="BG19" s="44">
        <v>4.1399999999999997</v>
      </c>
      <c r="BH19" s="44" t="s">
        <v>98</v>
      </c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>
        <v>70.19</v>
      </c>
      <c r="CR19" s="47">
        <v>71.510000000000005</v>
      </c>
      <c r="CS19" s="44">
        <v>20.709</v>
      </c>
      <c r="CT19" s="44"/>
    </row>
    <row r="20" spans="1:98" ht="15.75" customHeight="1">
      <c r="A20" s="43">
        <v>19</v>
      </c>
      <c r="B20" s="44">
        <v>690</v>
      </c>
      <c r="C20" s="45">
        <v>45599</v>
      </c>
      <c r="D20" s="44">
        <v>5</v>
      </c>
      <c r="E20" s="44">
        <v>36400</v>
      </c>
      <c r="F20" s="44">
        <v>31200</v>
      </c>
      <c r="G20" s="44">
        <v>1.27</v>
      </c>
      <c r="H20" s="44">
        <v>7.91</v>
      </c>
      <c r="I20" s="44">
        <v>3.38</v>
      </c>
      <c r="J20" s="44">
        <v>20</v>
      </c>
      <c r="K20" s="44">
        <v>5</v>
      </c>
      <c r="L20" s="44">
        <v>0</v>
      </c>
      <c r="M20" s="44">
        <v>0</v>
      </c>
      <c r="N20" s="44" t="s">
        <v>99</v>
      </c>
      <c r="O20" s="44">
        <v>9538</v>
      </c>
      <c r="P20" s="44">
        <v>6700</v>
      </c>
      <c r="Q20" s="44">
        <v>1.34</v>
      </c>
      <c r="R20" s="44">
        <v>7.88</v>
      </c>
      <c r="S20" s="44">
        <v>3.86</v>
      </c>
      <c r="T20" s="44" t="s">
        <v>86</v>
      </c>
      <c r="U20" s="44"/>
      <c r="V20" s="44"/>
      <c r="W20" s="44">
        <v>9548</v>
      </c>
      <c r="X20" s="44">
        <v>6180</v>
      </c>
      <c r="Y20" s="44">
        <v>1.55</v>
      </c>
      <c r="Z20" s="44">
        <v>8.1</v>
      </c>
      <c r="AA20" s="44">
        <v>2.96</v>
      </c>
      <c r="AB20" s="44" t="s">
        <v>86</v>
      </c>
      <c r="AC20" s="44"/>
      <c r="AD20" s="44"/>
      <c r="AE20" s="44">
        <v>9541</v>
      </c>
      <c r="AF20" s="44">
        <v>7220</v>
      </c>
      <c r="AG20" s="44">
        <v>1.28</v>
      </c>
      <c r="AH20" s="44">
        <v>8.01</v>
      </c>
      <c r="AI20" s="44">
        <v>2.59</v>
      </c>
      <c r="AJ20" s="44" t="s">
        <v>86</v>
      </c>
      <c r="AK20" s="44"/>
      <c r="AL20" s="44"/>
      <c r="AM20" s="44">
        <v>9537</v>
      </c>
      <c r="AN20" s="44">
        <v>9300</v>
      </c>
      <c r="AO20" s="44">
        <v>1.1599999999999999</v>
      </c>
      <c r="AP20" s="44">
        <v>7.82</v>
      </c>
      <c r="AQ20" s="44">
        <v>3.8</v>
      </c>
      <c r="AR20" s="44" t="s">
        <v>86</v>
      </c>
      <c r="AS20" s="44"/>
      <c r="AT20" s="44"/>
      <c r="AU20" s="44">
        <v>9531</v>
      </c>
      <c r="AV20" s="44">
        <v>7000</v>
      </c>
      <c r="AW20" s="44">
        <v>1.19</v>
      </c>
      <c r="AX20" s="44">
        <v>7.83</v>
      </c>
      <c r="AY20" s="44">
        <v>3.73</v>
      </c>
      <c r="AZ20" s="44" t="s">
        <v>86</v>
      </c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>
        <v>67.14</v>
      </c>
      <c r="CR20" s="47">
        <v>68.41</v>
      </c>
      <c r="CS20" s="44">
        <v>19.649999999999999</v>
      </c>
      <c r="CT20" s="44"/>
    </row>
    <row r="21" spans="1:98" ht="15.75" customHeight="1">
      <c r="A21" s="43">
        <v>20</v>
      </c>
      <c r="B21" s="44">
        <v>691</v>
      </c>
      <c r="C21" s="45">
        <v>45629</v>
      </c>
      <c r="D21" s="44">
        <v>5</v>
      </c>
      <c r="E21" s="44">
        <v>36360</v>
      </c>
      <c r="F21" s="44">
        <v>31200</v>
      </c>
      <c r="G21" s="44">
        <v>1.1399999999999999</v>
      </c>
      <c r="H21" s="44">
        <v>7.83</v>
      </c>
      <c r="I21" s="44">
        <v>3.13</v>
      </c>
      <c r="J21" s="44">
        <v>19</v>
      </c>
      <c r="K21" s="44">
        <v>2</v>
      </c>
      <c r="L21" s="44">
        <v>3</v>
      </c>
      <c r="M21" s="44">
        <v>0</v>
      </c>
      <c r="N21" s="44" t="s">
        <v>111</v>
      </c>
      <c r="O21" s="44">
        <v>9577</v>
      </c>
      <c r="P21" s="44">
        <v>9660</v>
      </c>
      <c r="Q21" s="44">
        <v>1.01</v>
      </c>
      <c r="R21" s="44">
        <v>7.87</v>
      </c>
      <c r="S21" s="44">
        <v>4.41</v>
      </c>
      <c r="T21" s="44" t="s">
        <v>98</v>
      </c>
      <c r="U21" s="44"/>
      <c r="V21" s="44"/>
      <c r="W21" s="44">
        <v>9581</v>
      </c>
      <c r="X21" s="44">
        <v>6780</v>
      </c>
      <c r="Y21" s="44">
        <v>1.18</v>
      </c>
      <c r="Z21" s="44">
        <v>7.83</v>
      </c>
      <c r="AA21" s="44">
        <v>2.52</v>
      </c>
      <c r="AB21" s="44" t="s">
        <v>86</v>
      </c>
      <c r="AC21" s="44"/>
      <c r="AD21" s="44"/>
      <c r="AE21" s="44">
        <v>9606</v>
      </c>
      <c r="AF21" s="44">
        <v>4380</v>
      </c>
      <c r="AG21" s="44">
        <v>1.31</v>
      </c>
      <c r="AH21" s="44">
        <v>7.56</v>
      </c>
      <c r="AI21" s="44">
        <v>2.44</v>
      </c>
      <c r="AJ21" s="44" t="s">
        <v>86</v>
      </c>
      <c r="AK21" s="44"/>
      <c r="AL21" s="44"/>
      <c r="AM21" s="44">
        <v>9607</v>
      </c>
      <c r="AN21" s="44">
        <v>8120</v>
      </c>
      <c r="AO21" s="44">
        <v>1.27</v>
      </c>
      <c r="AP21" s="44">
        <v>7.77</v>
      </c>
      <c r="AQ21" s="44">
        <v>3.44</v>
      </c>
      <c r="AR21" s="44" t="s">
        <v>98</v>
      </c>
      <c r="AS21" s="44"/>
      <c r="AT21" s="44"/>
      <c r="AU21" s="48">
        <v>9608</v>
      </c>
      <c r="AV21" s="44">
        <v>7420</v>
      </c>
      <c r="AW21" s="44">
        <v>1.03</v>
      </c>
      <c r="AX21" s="44">
        <v>7.93</v>
      </c>
      <c r="AY21" s="44">
        <v>2.09</v>
      </c>
      <c r="AZ21" s="44" t="s">
        <v>98</v>
      </c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>
        <v>64.05</v>
      </c>
      <c r="CR21" s="47">
        <v>65.19</v>
      </c>
      <c r="CS21" s="44">
        <v>18.818999999999999</v>
      </c>
      <c r="CT21" s="44"/>
    </row>
    <row r="22" spans="1:98" ht="15.75" customHeight="1">
      <c r="A22" s="43">
        <v>21</v>
      </c>
      <c r="B22" s="44">
        <v>692</v>
      </c>
      <c r="C22" s="44" t="s">
        <v>113</v>
      </c>
      <c r="D22" s="44">
        <v>8</v>
      </c>
      <c r="E22" s="44">
        <v>51480</v>
      </c>
      <c r="F22" s="44">
        <v>46800</v>
      </c>
      <c r="G22" s="44">
        <v>1.33</v>
      </c>
      <c r="H22" s="44">
        <v>7.85</v>
      </c>
      <c r="I22" s="44">
        <v>3.37</v>
      </c>
      <c r="J22" s="44">
        <v>20</v>
      </c>
      <c r="K22" s="44">
        <v>3</v>
      </c>
      <c r="L22" s="44">
        <v>4</v>
      </c>
      <c r="M22" s="44">
        <v>1</v>
      </c>
      <c r="N22" s="44" t="s">
        <v>99</v>
      </c>
      <c r="O22" s="44">
        <v>9583</v>
      </c>
      <c r="P22" s="44">
        <v>3560</v>
      </c>
      <c r="Q22" s="44">
        <v>1.31</v>
      </c>
      <c r="R22" s="44">
        <v>7.81</v>
      </c>
      <c r="S22" s="44">
        <v>2.73</v>
      </c>
      <c r="T22" s="44" t="s">
        <v>86</v>
      </c>
      <c r="U22" s="44"/>
      <c r="V22" s="44"/>
      <c r="W22" s="44">
        <v>9579</v>
      </c>
      <c r="X22" s="44">
        <v>4580</v>
      </c>
      <c r="Y22" s="44">
        <v>1.1599999999999999</v>
      </c>
      <c r="Z22" s="44">
        <v>7.74</v>
      </c>
      <c r="AA22" s="44">
        <v>3.49</v>
      </c>
      <c r="AB22" s="44" t="s">
        <v>98</v>
      </c>
      <c r="AC22" s="44"/>
      <c r="AD22" s="44"/>
      <c r="AE22" s="44">
        <v>9578</v>
      </c>
      <c r="AF22" s="44">
        <v>4960</v>
      </c>
      <c r="AG22" s="44">
        <v>1.24</v>
      </c>
      <c r="AH22" s="44">
        <v>8.02</v>
      </c>
      <c r="AI22" s="44">
        <v>5.48</v>
      </c>
      <c r="AJ22" s="44" t="s">
        <v>106</v>
      </c>
      <c r="AK22" s="44"/>
      <c r="AL22" s="44"/>
      <c r="AM22" s="44">
        <v>9506</v>
      </c>
      <c r="AN22" s="44">
        <v>9920</v>
      </c>
      <c r="AO22" s="44">
        <v>1.46</v>
      </c>
      <c r="AP22" s="44">
        <v>7.73</v>
      </c>
      <c r="AQ22" s="44">
        <v>2.94</v>
      </c>
      <c r="AR22" s="44" t="s">
        <v>98</v>
      </c>
      <c r="AS22" s="44"/>
      <c r="AT22" s="44"/>
      <c r="AU22" s="44">
        <v>9592</v>
      </c>
      <c r="AV22" s="44">
        <v>5740</v>
      </c>
      <c r="AW22" s="44">
        <v>1.43</v>
      </c>
      <c r="AX22" s="44">
        <v>8.01</v>
      </c>
      <c r="AY22" s="44">
        <v>3.11</v>
      </c>
      <c r="AZ22" s="44" t="s">
        <v>86</v>
      </c>
      <c r="BA22" s="44"/>
      <c r="BB22" s="44"/>
      <c r="BC22" s="44">
        <v>9588</v>
      </c>
      <c r="BD22" s="44">
        <v>7460</v>
      </c>
      <c r="BE22" s="44">
        <v>1.24</v>
      </c>
      <c r="BF22" s="44">
        <v>7.78</v>
      </c>
      <c r="BG22" s="44">
        <v>3.68</v>
      </c>
      <c r="BH22" s="44" t="s">
        <v>98</v>
      </c>
      <c r="BI22" s="44"/>
      <c r="BJ22" s="44"/>
      <c r="BK22" s="44">
        <v>9595</v>
      </c>
      <c r="BL22" s="44">
        <v>7940</v>
      </c>
      <c r="BM22" s="44">
        <v>1.38</v>
      </c>
      <c r="BN22" s="44">
        <v>7.83</v>
      </c>
      <c r="BO22" s="44">
        <v>3.07</v>
      </c>
      <c r="BP22" s="44" t="s">
        <v>86</v>
      </c>
      <c r="BQ22" s="44"/>
      <c r="BR22" s="44"/>
      <c r="BS22" s="44">
        <v>9594</v>
      </c>
      <c r="BT22" s="44">
        <v>7320</v>
      </c>
      <c r="BU22" s="44">
        <v>1.25</v>
      </c>
      <c r="BV22" s="44">
        <v>7.99</v>
      </c>
      <c r="BW22" s="44">
        <v>2.94</v>
      </c>
      <c r="BX22" s="44" t="s">
        <v>98</v>
      </c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>
        <v>67.05</v>
      </c>
      <c r="CR22" s="47">
        <v>68.38</v>
      </c>
      <c r="CS22" s="44">
        <v>19.695</v>
      </c>
      <c r="CT22" s="44"/>
    </row>
    <row r="23" spans="1:98" ht="15.75" customHeight="1">
      <c r="A23" s="43">
        <v>22</v>
      </c>
      <c r="B23" s="44">
        <v>693</v>
      </c>
      <c r="C23" s="44" t="s">
        <v>114</v>
      </c>
      <c r="D23" s="44">
        <v>6</v>
      </c>
      <c r="E23" s="44">
        <v>44400</v>
      </c>
      <c r="F23" s="44">
        <v>39000</v>
      </c>
      <c r="G23" s="44">
        <v>1.19</v>
      </c>
      <c r="H23" s="44">
        <v>7.92</v>
      </c>
      <c r="I23" s="44">
        <v>3.87</v>
      </c>
      <c r="J23" s="44">
        <v>21</v>
      </c>
      <c r="K23" s="44">
        <v>1</v>
      </c>
      <c r="L23" s="44">
        <v>4</v>
      </c>
      <c r="M23" s="44">
        <v>1</v>
      </c>
      <c r="N23" s="44" t="s">
        <v>97</v>
      </c>
      <c r="O23" s="44">
        <v>9603</v>
      </c>
      <c r="P23" s="44">
        <v>7980</v>
      </c>
      <c r="Q23" s="44">
        <v>1.04</v>
      </c>
      <c r="R23" s="44">
        <v>7.86</v>
      </c>
      <c r="S23" s="44">
        <v>3.54</v>
      </c>
      <c r="T23" s="44" t="s">
        <v>98</v>
      </c>
      <c r="U23" s="44"/>
      <c r="V23" s="44"/>
      <c r="W23" s="44">
        <v>9461</v>
      </c>
      <c r="X23" s="44">
        <v>12740</v>
      </c>
      <c r="Y23" s="44">
        <v>1.37</v>
      </c>
      <c r="Z23" s="44">
        <v>7.85</v>
      </c>
      <c r="AA23" s="44">
        <v>4.9400000000000004</v>
      </c>
      <c r="AB23" s="44" t="s">
        <v>86</v>
      </c>
      <c r="AC23" s="44"/>
      <c r="AD23" s="44"/>
      <c r="AE23" s="44">
        <v>9602</v>
      </c>
      <c r="AF23" s="44">
        <v>5300</v>
      </c>
      <c r="AG23" s="44">
        <v>1.29</v>
      </c>
      <c r="AH23" s="44">
        <v>7.99</v>
      </c>
      <c r="AI23" s="44">
        <v>4.26</v>
      </c>
      <c r="AJ23" s="44" t="s">
        <v>98</v>
      </c>
      <c r="AK23" s="44"/>
      <c r="AL23" s="44"/>
      <c r="AM23" s="44">
        <v>9630</v>
      </c>
      <c r="AN23" s="44">
        <v>3440</v>
      </c>
      <c r="AO23" s="44">
        <v>1.2</v>
      </c>
      <c r="AP23" s="44">
        <v>8.0299999999999994</v>
      </c>
      <c r="AQ23" s="44">
        <v>2.59</v>
      </c>
      <c r="AR23" s="44" t="s">
        <v>106</v>
      </c>
      <c r="AS23" s="44"/>
      <c r="AT23" s="44"/>
      <c r="AU23" s="44">
        <v>9574</v>
      </c>
      <c r="AV23" s="44">
        <v>8600</v>
      </c>
      <c r="AW23" s="44">
        <v>1.01</v>
      </c>
      <c r="AX23" s="44">
        <v>7.97</v>
      </c>
      <c r="AY23" s="44">
        <v>3.28</v>
      </c>
      <c r="AZ23" s="44" t="s">
        <v>98</v>
      </c>
      <c r="BA23" s="44"/>
      <c r="BB23" s="44"/>
      <c r="BC23" s="44">
        <v>9589</v>
      </c>
      <c r="BD23" s="44">
        <v>6340</v>
      </c>
      <c r="BE23" s="44">
        <v>1.1200000000000001</v>
      </c>
      <c r="BF23" s="44">
        <v>8</v>
      </c>
      <c r="BG23" s="44">
        <v>3.27</v>
      </c>
      <c r="BH23" s="44" t="s">
        <v>98</v>
      </c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>
        <v>71.27</v>
      </c>
      <c r="CR23" s="47">
        <v>72.459999999999994</v>
      </c>
      <c r="CS23" s="44">
        <v>20.876999999999999</v>
      </c>
      <c r="CT23" s="44"/>
    </row>
    <row r="24" spans="1:98" ht="15.75" customHeight="1">
      <c r="A24" s="43">
        <v>23</v>
      </c>
      <c r="B24" s="44">
        <v>694</v>
      </c>
      <c r="C24" s="44" t="s">
        <v>115</v>
      </c>
      <c r="D24" s="44">
        <v>8</v>
      </c>
      <c r="E24" s="44">
        <v>44220</v>
      </c>
      <c r="F24" s="44">
        <v>38600</v>
      </c>
      <c r="G24" s="44">
        <v>1.27</v>
      </c>
      <c r="H24" s="44">
        <v>7.92</v>
      </c>
      <c r="I24" s="44">
        <v>4.04</v>
      </c>
      <c r="J24" s="44">
        <v>22</v>
      </c>
      <c r="K24" s="44">
        <v>6</v>
      </c>
      <c r="L24" s="44">
        <v>1</v>
      </c>
      <c r="M24" s="44">
        <v>1</v>
      </c>
      <c r="N24" s="44" t="s">
        <v>99</v>
      </c>
      <c r="O24" s="44">
        <v>9544</v>
      </c>
      <c r="P24" s="44">
        <v>4000</v>
      </c>
      <c r="Q24" s="44">
        <v>1.2</v>
      </c>
      <c r="R24" s="44">
        <v>7.96</v>
      </c>
      <c r="S24" s="44">
        <v>3.77</v>
      </c>
      <c r="T24" s="44" t="s">
        <v>86</v>
      </c>
      <c r="U24" s="44"/>
      <c r="V24" s="44"/>
      <c r="W24" s="44">
        <v>9530</v>
      </c>
      <c r="X24" s="44">
        <v>4220</v>
      </c>
      <c r="Y24" s="44">
        <v>1.22</v>
      </c>
      <c r="Z24" s="44">
        <v>7.73</v>
      </c>
      <c r="AA24" s="44">
        <v>3.63</v>
      </c>
      <c r="AB24" s="44" t="s">
        <v>86</v>
      </c>
      <c r="AC24" s="44"/>
      <c r="AD24" s="44"/>
      <c r="AE24" s="44">
        <v>9627</v>
      </c>
      <c r="AF24" s="44">
        <v>2640</v>
      </c>
      <c r="AG24" s="44">
        <v>1.0900000000000001</v>
      </c>
      <c r="AH24" s="44">
        <v>7.81</v>
      </c>
      <c r="AI24" s="44">
        <v>2.58</v>
      </c>
      <c r="AJ24" s="44" t="s">
        <v>86</v>
      </c>
      <c r="AK24" s="44"/>
      <c r="AL24" s="44"/>
      <c r="AM24" s="44">
        <v>9635</v>
      </c>
      <c r="AN24" s="44">
        <v>6020</v>
      </c>
      <c r="AO24" s="44">
        <v>1.54</v>
      </c>
      <c r="AP24" s="44">
        <v>7.87</v>
      </c>
      <c r="AQ24" s="44">
        <v>6.04</v>
      </c>
      <c r="AR24" s="44" t="s">
        <v>86</v>
      </c>
      <c r="AS24" s="44"/>
      <c r="AT24" s="44"/>
      <c r="AU24" s="44">
        <v>9528</v>
      </c>
      <c r="AV24" s="44">
        <v>4560</v>
      </c>
      <c r="AW24" s="44">
        <v>1.55</v>
      </c>
      <c r="AX24" s="44">
        <v>7.76</v>
      </c>
      <c r="AY24" s="44">
        <v>3.01</v>
      </c>
      <c r="AZ24" s="44" t="s">
        <v>86</v>
      </c>
      <c r="BA24" s="44"/>
      <c r="BB24" s="44"/>
      <c r="BC24" s="44">
        <v>9637</v>
      </c>
      <c r="BD24" s="44">
        <v>9480</v>
      </c>
      <c r="BE24" s="44">
        <v>1.1399999999999999</v>
      </c>
      <c r="BF24" s="44">
        <v>7.38</v>
      </c>
      <c r="BG24" s="44">
        <v>4.1100000000000003</v>
      </c>
      <c r="BH24" s="44" t="s">
        <v>86</v>
      </c>
      <c r="BI24" s="44"/>
      <c r="BJ24" s="44"/>
      <c r="BK24" s="44">
        <v>9604</v>
      </c>
      <c r="BL24" s="44">
        <v>7060</v>
      </c>
      <c r="BM24" s="44">
        <v>1.05</v>
      </c>
      <c r="BN24" s="44">
        <v>7.94</v>
      </c>
      <c r="BO24" s="44">
        <v>3.55</v>
      </c>
      <c r="BP24" s="44" t="s">
        <v>106</v>
      </c>
      <c r="BQ24" s="44"/>
      <c r="BR24" s="44"/>
      <c r="BS24" s="44">
        <v>9508</v>
      </c>
      <c r="BT24" s="44">
        <v>6240</v>
      </c>
      <c r="BU24" s="44">
        <v>1.32</v>
      </c>
      <c r="BV24" s="44">
        <v>8.02</v>
      </c>
      <c r="BW24" s="44">
        <v>3.48</v>
      </c>
      <c r="BX24" s="44" t="s">
        <v>98</v>
      </c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>
        <v>73.12</v>
      </c>
      <c r="CR24" s="47">
        <v>74.39</v>
      </c>
      <c r="CS24" s="44">
        <v>21.431999999999999</v>
      </c>
      <c r="CT24" s="44"/>
    </row>
    <row r="25" spans="1:98" ht="15.75" customHeight="1">
      <c r="A25" s="43">
        <v>24</v>
      </c>
      <c r="B25" s="44">
        <v>695</v>
      </c>
      <c r="C25" s="44" t="s">
        <v>116</v>
      </c>
      <c r="D25" s="44">
        <v>5</v>
      </c>
      <c r="E25" s="44">
        <v>35500</v>
      </c>
      <c r="F25" s="44">
        <v>30600</v>
      </c>
      <c r="G25" s="44">
        <v>1.22</v>
      </c>
      <c r="H25" s="44">
        <v>7.79</v>
      </c>
      <c r="I25" s="44">
        <v>3.55</v>
      </c>
      <c r="J25" s="44">
        <v>20</v>
      </c>
      <c r="K25" s="44">
        <v>3</v>
      </c>
      <c r="L25" s="44">
        <v>2</v>
      </c>
      <c r="M25" s="44">
        <v>0</v>
      </c>
      <c r="N25" s="44" t="s">
        <v>99</v>
      </c>
      <c r="O25" s="48">
        <v>9634</v>
      </c>
      <c r="P25" s="44">
        <v>9680</v>
      </c>
      <c r="Q25" s="44">
        <v>1.35</v>
      </c>
      <c r="R25" s="44">
        <v>7.7</v>
      </c>
      <c r="S25" s="44">
        <v>4.8899999999999997</v>
      </c>
      <c r="T25" s="44" t="s">
        <v>86</v>
      </c>
      <c r="U25" s="44"/>
      <c r="V25" s="44"/>
      <c r="W25" s="44">
        <v>9660</v>
      </c>
      <c r="X25" s="44">
        <v>5020</v>
      </c>
      <c r="Y25" s="44">
        <v>1.1399999999999999</v>
      </c>
      <c r="Z25" s="44">
        <v>7.8</v>
      </c>
      <c r="AA25" s="44">
        <v>2.69</v>
      </c>
      <c r="AB25" s="44" t="s">
        <v>86</v>
      </c>
      <c r="AC25" s="44"/>
      <c r="AD25" s="44"/>
      <c r="AE25" s="44">
        <v>9677</v>
      </c>
      <c r="AF25" s="44">
        <v>8060</v>
      </c>
      <c r="AG25" s="44">
        <v>1.21</v>
      </c>
      <c r="AH25" s="44">
        <v>7.76</v>
      </c>
      <c r="AI25" s="44">
        <v>3.59</v>
      </c>
      <c r="AJ25" s="44" t="s">
        <v>98</v>
      </c>
      <c r="AK25" s="44"/>
      <c r="AL25" s="44"/>
      <c r="AM25" s="44">
        <v>9532</v>
      </c>
      <c r="AN25" s="44">
        <v>4060</v>
      </c>
      <c r="AO25" s="44">
        <v>1.44</v>
      </c>
      <c r="AP25" s="44">
        <v>7.7</v>
      </c>
      <c r="AQ25" s="44">
        <v>4.04</v>
      </c>
      <c r="AR25" s="44" t="s">
        <v>86</v>
      </c>
      <c r="AS25" s="44"/>
      <c r="AT25" s="44"/>
      <c r="AU25" s="44">
        <v>9664</v>
      </c>
      <c r="AV25" s="44">
        <v>8680</v>
      </c>
      <c r="AW25" s="44">
        <v>1.03</v>
      </c>
      <c r="AX25" s="44">
        <v>7.89</v>
      </c>
      <c r="AY25" s="44">
        <v>2.31</v>
      </c>
      <c r="AZ25" s="44" t="s">
        <v>98</v>
      </c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>
        <v>67.989999999999995</v>
      </c>
      <c r="CR25" s="47">
        <v>69.209999999999994</v>
      </c>
      <c r="CS25" s="44">
        <v>20.048999999999999</v>
      </c>
      <c r="CT25" s="44"/>
    </row>
    <row r="26" spans="1:98" ht="15.75" customHeight="1">
      <c r="A26" s="43">
        <v>25</v>
      </c>
      <c r="B26" s="44">
        <v>696</v>
      </c>
      <c r="C26" s="44" t="s">
        <v>117</v>
      </c>
      <c r="D26" s="44">
        <v>5</v>
      </c>
      <c r="E26" s="44">
        <v>35560</v>
      </c>
      <c r="F26" s="44">
        <v>31200</v>
      </c>
      <c r="G26" s="44">
        <v>1.26</v>
      </c>
      <c r="H26" s="44">
        <v>7.88</v>
      </c>
      <c r="I26" s="44">
        <v>3.46</v>
      </c>
      <c r="J26" s="44">
        <v>20</v>
      </c>
      <c r="K26" s="44">
        <v>3</v>
      </c>
      <c r="L26" s="44">
        <v>2</v>
      </c>
      <c r="M26" s="44">
        <v>0</v>
      </c>
      <c r="N26" s="44" t="s">
        <v>99</v>
      </c>
      <c r="O26" s="44">
        <v>9680</v>
      </c>
      <c r="P26" s="44">
        <v>5040</v>
      </c>
      <c r="Q26" s="44">
        <v>1.45</v>
      </c>
      <c r="R26" s="44">
        <v>7.75</v>
      </c>
      <c r="S26" s="44">
        <v>3.79</v>
      </c>
      <c r="T26" s="44" t="s">
        <v>86</v>
      </c>
      <c r="U26" s="44"/>
      <c r="V26" s="44"/>
      <c r="W26" s="48">
        <v>9682</v>
      </c>
      <c r="X26" s="44">
        <v>6900</v>
      </c>
      <c r="Y26" s="44">
        <v>1.0900000000000001</v>
      </c>
      <c r="Z26" s="44">
        <v>7.96</v>
      </c>
      <c r="AA26" s="44">
        <v>4.24</v>
      </c>
      <c r="AB26" s="44" t="s">
        <v>98</v>
      </c>
      <c r="AC26" s="44"/>
      <c r="AD26" s="44"/>
      <c r="AE26" s="44">
        <v>9596</v>
      </c>
      <c r="AF26" s="44">
        <v>7200</v>
      </c>
      <c r="AG26" s="44">
        <v>1.29</v>
      </c>
      <c r="AH26" s="44">
        <v>7.8</v>
      </c>
      <c r="AI26" s="44">
        <v>2.89</v>
      </c>
      <c r="AJ26" s="44" t="s">
        <v>86</v>
      </c>
      <c r="AK26" s="44"/>
      <c r="AL26" s="44"/>
      <c r="AM26" s="44">
        <v>9652</v>
      </c>
      <c r="AN26" s="44">
        <v>9500</v>
      </c>
      <c r="AO26" s="44">
        <v>1.1200000000000001</v>
      </c>
      <c r="AP26" s="44">
        <v>8.11</v>
      </c>
      <c r="AQ26" s="44">
        <v>2.98</v>
      </c>
      <c r="AR26" s="44" t="s">
        <v>98</v>
      </c>
      <c r="AS26" s="44"/>
      <c r="AT26" s="44"/>
      <c r="AU26" s="44">
        <v>9685</v>
      </c>
      <c r="AV26" s="44">
        <v>6920</v>
      </c>
      <c r="AW26" s="44">
        <v>1.54</v>
      </c>
      <c r="AX26" s="44">
        <v>7.64</v>
      </c>
      <c r="AY26" s="44">
        <v>3.6</v>
      </c>
      <c r="AZ26" s="44" t="s">
        <v>86</v>
      </c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>
        <v>67.7</v>
      </c>
      <c r="CR26" s="47">
        <v>68.959999999999994</v>
      </c>
      <c r="CS26" s="44">
        <v>19.853999999999999</v>
      </c>
      <c r="CT26" s="44"/>
    </row>
    <row r="27" spans="1:98" ht="15.75" customHeight="1">
      <c r="A27" s="43">
        <v>26</v>
      </c>
      <c r="B27" s="44">
        <v>697</v>
      </c>
      <c r="C27" s="44" t="s">
        <v>118</v>
      </c>
      <c r="D27" s="44">
        <v>5</v>
      </c>
      <c r="E27" s="44">
        <v>36180</v>
      </c>
      <c r="F27" s="44">
        <v>31200</v>
      </c>
      <c r="G27" s="44">
        <v>1.2</v>
      </c>
      <c r="H27" s="44">
        <v>7.78</v>
      </c>
      <c r="I27" s="44">
        <v>2.79</v>
      </c>
      <c r="J27" s="44">
        <v>18</v>
      </c>
      <c r="K27" s="44">
        <v>1</v>
      </c>
      <c r="L27" s="44">
        <v>3</v>
      </c>
      <c r="M27" s="44">
        <v>1</v>
      </c>
      <c r="N27" s="44" t="s">
        <v>111</v>
      </c>
      <c r="O27" s="44">
        <v>9632</v>
      </c>
      <c r="P27" s="44">
        <v>2760</v>
      </c>
      <c r="Q27" s="44">
        <v>1.65</v>
      </c>
      <c r="R27" s="44">
        <v>7.31</v>
      </c>
      <c r="S27" s="44">
        <v>4.71</v>
      </c>
      <c r="T27" s="44" t="s">
        <v>106</v>
      </c>
      <c r="U27" s="44"/>
      <c r="V27" s="44"/>
      <c r="W27" s="44">
        <v>9691</v>
      </c>
      <c r="X27" s="44">
        <v>11160</v>
      </c>
      <c r="Y27" s="44">
        <v>1.0900000000000001</v>
      </c>
      <c r="Z27" s="44">
        <v>7.86</v>
      </c>
      <c r="AA27" s="44">
        <v>2.48</v>
      </c>
      <c r="AB27" s="44" t="s">
        <v>98</v>
      </c>
      <c r="AC27" s="44"/>
      <c r="AD27" s="44"/>
      <c r="AE27" s="44">
        <v>9584</v>
      </c>
      <c r="AF27" s="44">
        <v>7320</v>
      </c>
      <c r="AG27" s="44">
        <v>1.4</v>
      </c>
      <c r="AH27" s="44">
        <v>7.87</v>
      </c>
      <c r="AI27" s="44">
        <v>3.22</v>
      </c>
      <c r="AJ27" s="44" t="s">
        <v>86</v>
      </c>
      <c r="AK27" s="44"/>
      <c r="AL27" s="44"/>
      <c r="AM27" s="44">
        <v>9392</v>
      </c>
      <c r="AN27" s="44">
        <v>5300</v>
      </c>
      <c r="AO27" s="44">
        <v>1.1499999999999999</v>
      </c>
      <c r="AP27" s="44">
        <v>7.71</v>
      </c>
      <c r="AQ27" s="44">
        <v>1.74</v>
      </c>
      <c r="AR27" s="44" t="s">
        <v>98</v>
      </c>
      <c r="AS27" s="44"/>
      <c r="AT27" s="44"/>
      <c r="AU27" s="44">
        <v>9519</v>
      </c>
      <c r="AV27" s="44">
        <v>9640</v>
      </c>
      <c r="AW27" s="44">
        <v>1.1299999999999999</v>
      </c>
      <c r="AX27" s="44">
        <v>7.88</v>
      </c>
      <c r="AY27" s="44">
        <v>2.7</v>
      </c>
      <c r="AZ27" s="44" t="s">
        <v>98</v>
      </c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>
        <v>61.03</v>
      </c>
      <c r="CR27" s="47">
        <v>62.23</v>
      </c>
      <c r="CS27" s="44">
        <v>17.972999999999999</v>
      </c>
      <c r="CT27" s="44"/>
    </row>
    <row r="28" spans="1:98" ht="15.75" customHeight="1">
      <c r="A28" s="43">
        <v>27</v>
      </c>
      <c r="B28" s="44">
        <v>700</v>
      </c>
      <c r="C28" s="44" t="s">
        <v>119</v>
      </c>
      <c r="D28" s="44">
        <v>7</v>
      </c>
      <c r="E28" s="44">
        <v>43780</v>
      </c>
      <c r="F28" s="44">
        <v>38600</v>
      </c>
      <c r="G28" s="44">
        <v>1.24</v>
      </c>
      <c r="H28" s="44">
        <v>7.83</v>
      </c>
      <c r="I28" s="44">
        <v>3.62</v>
      </c>
      <c r="J28" s="44">
        <v>20</v>
      </c>
      <c r="K28" s="44">
        <v>4</v>
      </c>
      <c r="L28" s="44">
        <v>3</v>
      </c>
      <c r="M28" s="44">
        <v>0</v>
      </c>
      <c r="N28" s="44" t="s">
        <v>99</v>
      </c>
      <c r="O28" s="44">
        <v>9591</v>
      </c>
      <c r="P28" s="44">
        <v>4220</v>
      </c>
      <c r="Q28" s="44">
        <v>1.63</v>
      </c>
      <c r="R28" s="44">
        <v>7.86</v>
      </c>
      <c r="S28" s="44">
        <v>3.04</v>
      </c>
      <c r="T28" s="44" t="s">
        <v>86</v>
      </c>
      <c r="U28" s="44"/>
      <c r="V28" s="44"/>
      <c r="W28" s="44">
        <v>9636</v>
      </c>
      <c r="X28" s="44">
        <v>8880</v>
      </c>
      <c r="Y28" s="44">
        <v>1.25</v>
      </c>
      <c r="Z28" s="44">
        <v>7.87</v>
      </c>
      <c r="AA28" s="44">
        <v>4.5999999999999996</v>
      </c>
      <c r="AB28" s="44" t="s">
        <v>86</v>
      </c>
      <c r="AC28" s="44"/>
      <c r="AD28" s="44"/>
      <c r="AE28" s="44">
        <v>9718</v>
      </c>
      <c r="AF28" s="44">
        <v>6100</v>
      </c>
      <c r="AG28" s="44">
        <v>1.18</v>
      </c>
      <c r="AH28" s="44">
        <v>7.73</v>
      </c>
      <c r="AI28" s="44">
        <v>4.07</v>
      </c>
      <c r="AJ28" s="44" t="s">
        <v>98</v>
      </c>
      <c r="AK28" s="44"/>
      <c r="AL28" s="44"/>
      <c r="AM28" s="44">
        <v>9657</v>
      </c>
      <c r="AN28" s="44">
        <v>5400</v>
      </c>
      <c r="AO28" s="44">
        <v>1.37</v>
      </c>
      <c r="AP28" s="44">
        <v>7.91</v>
      </c>
      <c r="AQ28" s="44">
        <v>3.32</v>
      </c>
      <c r="AR28" s="44" t="s">
        <v>86</v>
      </c>
      <c r="AS28" s="44"/>
      <c r="AT28" s="44"/>
      <c r="AU28" s="44">
        <v>9700</v>
      </c>
      <c r="AV28" s="44">
        <v>4560</v>
      </c>
      <c r="AW28" s="44">
        <v>1.01</v>
      </c>
      <c r="AX28" s="44">
        <v>7.94</v>
      </c>
      <c r="AY28" s="44">
        <v>3.27</v>
      </c>
      <c r="AZ28" s="44" t="s">
        <v>98</v>
      </c>
      <c r="BA28" s="44"/>
      <c r="BB28" s="44"/>
      <c r="BC28" s="44">
        <v>9710</v>
      </c>
      <c r="BD28" s="44">
        <v>6520</v>
      </c>
      <c r="BE28" s="44">
        <v>1.1100000000000001</v>
      </c>
      <c r="BF28" s="44">
        <v>7.71</v>
      </c>
      <c r="BG28" s="44">
        <v>3.41</v>
      </c>
      <c r="BH28" s="44" t="s">
        <v>98</v>
      </c>
      <c r="BI28" s="44"/>
      <c r="BJ28" s="44"/>
      <c r="BK28" s="44">
        <v>9713</v>
      </c>
      <c r="BL28" s="44">
        <v>8100</v>
      </c>
      <c r="BM28" s="44">
        <v>1.21</v>
      </c>
      <c r="BN28" s="44">
        <v>7.87</v>
      </c>
      <c r="BO28" s="44">
        <v>3</v>
      </c>
      <c r="BP28" s="44" t="s">
        <v>86</v>
      </c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>
        <v>68.86</v>
      </c>
      <c r="CR28" s="47">
        <v>70.099999999999994</v>
      </c>
      <c r="CS28" s="44">
        <v>20.262</v>
      </c>
      <c r="CT28" s="44"/>
    </row>
    <row r="29" spans="1:98" ht="15.75" customHeight="1">
      <c r="A29" s="43">
        <v>28</v>
      </c>
      <c r="B29" s="44">
        <v>698</v>
      </c>
      <c r="C29" s="44" t="s">
        <v>120</v>
      </c>
      <c r="D29" s="44">
        <v>6</v>
      </c>
      <c r="E29" s="44">
        <v>51680</v>
      </c>
      <c r="F29" s="44">
        <v>46400</v>
      </c>
      <c r="G29" s="44">
        <v>1.17</v>
      </c>
      <c r="H29" s="44">
        <v>7.95</v>
      </c>
      <c r="I29" s="44">
        <v>3.4</v>
      </c>
      <c r="J29" s="44">
        <v>20</v>
      </c>
      <c r="K29" s="44">
        <v>4</v>
      </c>
      <c r="L29" s="44">
        <v>2</v>
      </c>
      <c r="M29" s="44">
        <v>0</v>
      </c>
      <c r="N29" s="44" t="s">
        <v>97</v>
      </c>
      <c r="O29" s="44">
        <v>9593</v>
      </c>
      <c r="P29" s="44">
        <v>9720</v>
      </c>
      <c r="Q29" s="44">
        <v>1.22</v>
      </c>
      <c r="R29" s="44">
        <v>7.96</v>
      </c>
      <c r="S29" s="44">
        <v>2.96</v>
      </c>
      <c r="T29" s="44" t="s">
        <v>86</v>
      </c>
      <c r="U29" s="44"/>
      <c r="V29" s="44"/>
      <c r="W29" s="44">
        <v>9573</v>
      </c>
      <c r="X29" s="44">
        <v>6940</v>
      </c>
      <c r="Y29" s="44">
        <v>1.1100000000000001</v>
      </c>
      <c r="Z29" s="44">
        <v>7.94</v>
      </c>
      <c r="AA29" s="44">
        <v>2.88</v>
      </c>
      <c r="AB29" s="44" t="s">
        <v>98</v>
      </c>
      <c r="AC29" s="44"/>
      <c r="AD29" s="44"/>
      <c r="AE29" s="44">
        <v>9651</v>
      </c>
      <c r="AF29" s="44">
        <v>9080</v>
      </c>
      <c r="AG29" s="44">
        <v>1.0900000000000001</v>
      </c>
      <c r="AH29" s="44">
        <v>8.06</v>
      </c>
      <c r="AI29" s="44">
        <v>2.87</v>
      </c>
      <c r="AJ29" s="44" t="s">
        <v>86</v>
      </c>
      <c r="AK29" s="44"/>
      <c r="AL29" s="44"/>
      <c r="AM29" s="44">
        <v>9466</v>
      </c>
      <c r="AN29" s="44">
        <v>8740</v>
      </c>
      <c r="AO29" s="44">
        <v>1.1299999999999999</v>
      </c>
      <c r="AP29" s="44">
        <v>7.76</v>
      </c>
      <c r="AQ29" s="44">
        <v>4.1399999999999997</v>
      </c>
      <c r="AR29" s="44" t="s">
        <v>86</v>
      </c>
      <c r="AS29" s="44"/>
      <c r="AT29" s="44"/>
      <c r="AU29" s="44">
        <v>9576</v>
      </c>
      <c r="AV29" s="44">
        <v>7620</v>
      </c>
      <c r="AW29" s="44">
        <v>1.02</v>
      </c>
      <c r="AX29" s="44">
        <v>7.85</v>
      </c>
      <c r="AY29" s="44">
        <v>4.41</v>
      </c>
      <c r="AZ29" s="44" t="s">
        <v>98</v>
      </c>
      <c r="BA29" s="44"/>
      <c r="BB29" s="44"/>
      <c r="BC29" s="44">
        <v>9549</v>
      </c>
      <c r="BD29" s="44">
        <v>9580</v>
      </c>
      <c r="BE29" s="44">
        <v>1.36</v>
      </c>
      <c r="BF29" s="44">
        <v>8.09</v>
      </c>
      <c r="BG29" s="44">
        <v>3.22</v>
      </c>
      <c r="BH29" s="44" t="s">
        <v>86</v>
      </c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>
        <v>67.08</v>
      </c>
      <c r="CR29" s="47">
        <v>68.25</v>
      </c>
      <c r="CS29" s="44">
        <v>19.584</v>
      </c>
      <c r="CT29" s="44"/>
    </row>
    <row r="30" spans="1:98" ht="15.75" customHeight="1">
      <c r="A30" s="43">
        <v>29</v>
      </c>
      <c r="B30" s="44">
        <v>701</v>
      </c>
      <c r="C30" s="44" t="s">
        <v>121</v>
      </c>
      <c r="D30" s="44">
        <v>5</v>
      </c>
      <c r="E30" s="44">
        <v>26560</v>
      </c>
      <c r="F30" s="44">
        <v>22600</v>
      </c>
      <c r="G30" s="44">
        <v>1.18</v>
      </c>
      <c r="H30" s="44">
        <v>7.85</v>
      </c>
      <c r="I30" s="44">
        <v>3.7</v>
      </c>
      <c r="J30" s="44">
        <v>21</v>
      </c>
      <c r="K30" s="44">
        <v>2</v>
      </c>
      <c r="L30" s="44">
        <v>3</v>
      </c>
      <c r="M30" s="44">
        <v>0</v>
      </c>
      <c r="N30" s="44" t="s">
        <v>97</v>
      </c>
      <c r="O30" s="44">
        <v>9676</v>
      </c>
      <c r="P30" s="44">
        <v>2940</v>
      </c>
      <c r="Q30" s="44">
        <v>1</v>
      </c>
      <c r="R30" s="44">
        <v>8.01</v>
      </c>
      <c r="S30" s="44">
        <v>2.31</v>
      </c>
      <c r="T30" s="44" t="s">
        <v>98</v>
      </c>
      <c r="U30" s="44"/>
      <c r="V30" s="44"/>
      <c r="W30" s="44">
        <v>9626</v>
      </c>
      <c r="X30" s="44">
        <v>3980</v>
      </c>
      <c r="Y30" s="44">
        <v>1.03</v>
      </c>
      <c r="Z30" s="44">
        <v>7.84</v>
      </c>
      <c r="AA30" s="44">
        <v>4.96</v>
      </c>
      <c r="AB30" s="44" t="s">
        <v>98</v>
      </c>
      <c r="AC30" s="44"/>
      <c r="AD30" s="44"/>
      <c r="AE30" s="44">
        <v>9587</v>
      </c>
      <c r="AF30" s="44">
        <v>3320</v>
      </c>
      <c r="AG30" s="44">
        <v>1.49</v>
      </c>
      <c r="AH30" s="44">
        <v>7.8</v>
      </c>
      <c r="AI30" s="44">
        <v>4.16</v>
      </c>
      <c r="AJ30" s="44" t="s">
        <v>86</v>
      </c>
      <c r="AK30" s="44"/>
      <c r="AL30" s="44"/>
      <c r="AM30" s="44">
        <v>9714</v>
      </c>
      <c r="AN30" s="44">
        <v>8940</v>
      </c>
      <c r="AO30" s="44">
        <v>1.1299999999999999</v>
      </c>
      <c r="AP30" s="44">
        <v>7.92</v>
      </c>
      <c r="AQ30" s="44">
        <v>3</v>
      </c>
      <c r="AR30" s="44" t="s">
        <v>98</v>
      </c>
      <c r="AS30" s="44"/>
      <c r="AT30" s="44"/>
      <c r="AU30" s="44">
        <v>9717</v>
      </c>
      <c r="AV30" s="44">
        <v>7380</v>
      </c>
      <c r="AW30" s="44">
        <v>1.26</v>
      </c>
      <c r="AX30" s="44">
        <v>7.74</v>
      </c>
      <c r="AY30" s="44">
        <v>4.2</v>
      </c>
      <c r="AZ30" s="44" t="s">
        <v>86</v>
      </c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>
        <v>69.42</v>
      </c>
      <c r="CR30" s="47">
        <v>70.599999999999994</v>
      </c>
      <c r="CS30" s="44">
        <v>20.405999999999999</v>
      </c>
      <c r="CT30" s="44"/>
    </row>
    <row r="31" spans="1:98" ht="15.75" customHeight="1">
      <c r="A31" s="43">
        <v>30</v>
      </c>
      <c r="B31" s="44">
        <v>703</v>
      </c>
      <c r="C31" s="45">
        <v>45355</v>
      </c>
      <c r="D31" s="44">
        <v>5</v>
      </c>
      <c r="E31" s="44">
        <v>34160</v>
      </c>
      <c r="F31" s="44">
        <v>29600</v>
      </c>
      <c r="G31" s="44">
        <v>1.21</v>
      </c>
      <c r="H31" s="44">
        <v>7.85</v>
      </c>
      <c r="I31" s="44">
        <v>3.97</v>
      </c>
      <c r="J31" s="44">
        <v>21</v>
      </c>
      <c r="K31" s="44">
        <v>3</v>
      </c>
      <c r="L31" s="44">
        <v>2</v>
      </c>
      <c r="M31" s="44">
        <v>0</v>
      </c>
      <c r="N31" s="44" t="s">
        <v>99</v>
      </c>
      <c r="O31" s="44">
        <v>9761</v>
      </c>
      <c r="P31" s="44">
        <v>8120</v>
      </c>
      <c r="Q31" s="44">
        <v>1.18</v>
      </c>
      <c r="R31" s="44">
        <v>7.83</v>
      </c>
      <c r="S31" s="44">
        <v>4.3099999999999996</v>
      </c>
      <c r="T31" s="44" t="s">
        <v>86</v>
      </c>
      <c r="U31" s="44"/>
      <c r="V31" s="44"/>
      <c r="W31" s="44">
        <v>9742</v>
      </c>
      <c r="X31" s="44">
        <v>7340</v>
      </c>
      <c r="Y31" s="44">
        <v>1.32</v>
      </c>
      <c r="Z31" s="44">
        <v>8</v>
      </c>
      <c r="AA31" s="44">
        <v>3.77</v>
      </c>
      <c r="AB31" s="44" t="s">
        <v>86</v>
      </c>
      <c r="AC31" s="44"/>
      <c r="AD31" s="44"/>
      <c r="AE31" s="44">
        <v>9658</v>
      </c>
      <c r="AF31" s="44">
        <v>8520</v>
      </c>
      <c r="AG31" s="44">
        <v>1.3</v>
      </c>
      <c r="AH31" s="44">
        <v>7.97</v>
      </c>
      <c r="AI31" s="44">
        <v>3.6</v>
      </c>
      <c r="AJ31" s="44" t="s">
        <v>86</v>
      </c>
      <c r="AK31" s="44"/>
      <c r="AL31" s="44"/>
      <c r="AM31" s="44">
        <v>9752</v>
      </c>
      <c r="AN31" s="44">
        <v>4020</v>
      </c>
      <c r="AO31" s="44">
        <v>1.05</v>
      </c>
      <c r="AP31" s="44">
        <v>7.26</v>
      </c>
      <c r="AQ31" s="44">
        <v>4.79</v>
      </c>
      <c r="AR31" s="44" t="s">
        <v>98</v>
      </c>
      <c r="AS31" s="44"/>
      <c r="AT31" s="44"/>
      <c r="AU31" s="44">
        <v>9779</v>
      </c>
      <c r="AV31" s="44">
        <v>6160</v>
      </c>
      <c r="AW31" s="44">
        <v>1.07</v>
      </c>
      <c r="AX31" s="44">
        <v>7.84</v>
      </c>
      <c r="AY31" s="44">
        <v>3.77</v>
      </c>
      <c r="AZ31" s="44" t="s">
        <v>98</v>
      </c>
      <c r="BA31" s="44"/>
      <c r="BB31" s="44"/>
      <c r="BC31" s="49">
        <v>9765</v>
      </c>
      <c r="BD31" s="49">
        <v>10180</v>
      </c>
      <c r="BE31" s="49"/>
      <c r="BF31" s="49"/>
      <c r="BG31" s="49"/>
      <c r="BH31" s="49" t="s">
        <v>86</v>
      </c>
      <c r="BI31" s="49" t="s">
        <v>112</v>
      </c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>
        <v>71.97</v>
      </c>
      <c r="CR31" s="47">
        <v>73.180000000000007</v>
      </c>
      <c r="CS31" s="44">
        <v>21.170999999999999</v>
      </c>
      <c r="CT31" s="44"/>
    </row>
    <row r="32" spans="1:98" ht="15.75" customHeight="1">
      <c r="A32" s="43">
        <v>31</v>
      </c>
      <c r="B32" s="44">
        <v>705</v>
      </c>
      <c r="C32" s="45">
        <v>45416</v>
      </c>
      <c r="D32" s="44">
        <v>6</v>
      </c>
      <c r="E32" s="44">
        <v>44100</v>
      </c>
      <c r="F32" s="44">
        <v>38600</v>
      </c>
      <c r="G32" s="44">
        <v>1.23</v>
      </c>
      <c r="H32" s="44">
        <v>7.79</v>
      </c>
      <c r="I32" s="44">
        <v>3.4</v>
      </c>
      <c r="J32" s="44">
        <v>20</v>
      </c>
      <c r="K32" s="44">
        <v>4</v>
      </c>
      <c r="L32" s="44">
        <v>2</v>
      </c>
      <c r="M32" s="44">
        <v>0</v>
      </c>
      <c r="N32" s="44" t="s">
        <v>99</v>
      </c>
      <c r="O32" s="44">
        <v>9764</v>
      </c>
      <c r="P32" s="44">
        <v>5480</v>
      </c>
      <c r="Q32" s="44">
        <v>1.0900000000000001</v>
      </c>
      <c r="R32" s="44">
        <v>7.85</v>
      </c>
      <c r="S32" s="44">
        <v>3.19</v>
      </c>
      <c r="T32" s="44" t="s">
        <v>98</v>
      </c>
      <c r="U32" s="44"/>
      <c r="V32" s="44"/>
      <c r="W32" s="44">
        <v>9601</v>
      </c>
      <c r="X32" s="44">
        <v>6920</v>
      </c>
      <c r="Y32" s="44">
        <v>1.24</v>
      </c>
      <c r="Z32" s="44">
        <v>7.99</v>
      </c>
      <c r="AA32" s="44">
        <v>4.3099999999999996</v>
      </c>
      <c r="AB32" s="44" t="s">
        <v>86</v>
      </c>
      <c r="AC32" s="44"/>
      <c r="AD32" s="44"/>
      <c r="AE32" s="44">
        <v>9586</v>
      </c>
      <c r="AF32" s="44">
        <v>7160</v>
      </c>
      <c r="AG32" s="44">
        <v>1.28</v>
      </c>
      <c r="AH32" s="44">
        <v>7.83</v>
      </c>
      <c r="AI32" s="44">
        <v>2.93</v>
      </c>
      <c r="AJ32" s="44" t="s">
        <v>86</v>
      </c>
      <c r="AK32" s="44"/>
      <c r="AL32" s="44"/>
      <c r="AM32" s="44">
        <v>9783</v>
      </c>
      <c r="AN32" s="44">
        <v>7860</v>
      </c>
      <c r="AO32" s="44">
        <v>1.1100000000000001</v>
      </c>
      <c r="AP32" s="44">
        <v>7.92</v>
      </c>
      <c r="AQ32" s="44">
        <v>2.63</v>
      </c>
      <c r="AR32" s="44" t="s">
        <v>86</v>
      </c>
      <c r="AS32" s="44"/>
      <c r="AT32" s="44"/>
      <c r="AU32" s="44">
        <v>9778</v>
      </c>
      <c r="AV32" s="44">
        <v>8520</v>
      </c>
      <c r="AW32" s="44">
        <v>1.1399999999999999</v>
      </c>
      <c r="AX32" s="44">
        <v>7.81</v>
      </c>
      <c r="AY32" s="44">
        <v>3.35</v>
      </c>
      <c r="AZ32" s="44" t="s">
        <v>86</v>
      </c>
      <c r="BA32" s="44"/>
      <c r="BB32" s="44"/>
      <c r="BC32" s="44">
        <v>9679</v>
      </c>
      <c r="BD32" s="44">
        <v>8160</v>
      </c>
      <c r="BE32" s="44">
        <v>1.42</v>
      </c>
      <c r="BF32" s="44">
        <v>7.47</v>
      </c>
      <c r="BG32" s="44">
        <v>3.92</v>
      </c>
      <c r="BH32" s="44" t="s">
        <v>98</v>
      </c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>
        <v>66.680000000000007</v>
      </c>
      <c r="CR32" s="47">
        <v>67.91</v>
      </c>
      <c r="CS32" s="44">
        <v>19.655999999999999</v>
      </c>
      <c r="CT32" s="44"/>
    </row>
    <row r="33" spans="1:98" ht="15.75" customHeight="1">
      <c r="A33" s="43">
        <v>32</v>
      </c>
      <c r="B33" s="44">
        <v>706</v>
      </c>
      <c r="C33" s="45">
        <v>45508</v>
      </c>
      <c r="D33" s="44">
        <v>6</v>
      </c>
      <c r="E33" s="44">
        <v>51680</v>
      </c>
      <c r="F33" s="44">
        <v>45400</v>
      </c>
      <c r="G33" s="44">
        <v>1.2</v>
      </c>
      <c r="H33" s="44">
        <v>7.93</v>
      </c>
      <c r="I33" s="44">
        <v>2.81</v>
      </c>
      <c r="J33" s="44">
        <v>18</v>
      </c>
      <c r="K33" s="44">
        <v>3</v>
      </c>
      <c r="L33" s="44">
        <v>3</v>
      </c>
      <c r="M33" s="44">
        <v>0</v>
      </c>
      <c r="N33" s="44" t="s">
        <v>111</v>
      </c>
      <c r="O33" s="44">
        <v>9653</v>
      </c>
      <c r="P33" s="44">
        <v>7800</v>
      </c>
      <c r="Q33" s="44">
        <v>1.0900000000000001</v>
      </c>
      <c r="R33" s="44">
        <v>8.16</v>
      </c>
      <c r="S33" s="44">
        <v>2.76</v>
      </c>
      <c r="T33" s="44" t="s">
        <v>98</v>
      </c>
      <c r="U33" s="44"/>
      <c r="V33" s="44"/>
      <c r="W33" s="44">
        <v>9666</v>
      </c>
      <c r="X33" s="44">
        <v>7080</v>
      </c>
      <c r="Y33" s="44">
        <v>1.05</v>
      </c>
      <c r="Z33" s="44">
        <v>7.84</v>
      </c>
      <c r="AA33" s="44">
        <v>1.76</v>
      </c>
      <c r="AB33" s="44" t="s">
        <v>98</v>
      </c>
      <c r="AC33" s="44"/>
      <c r="AD33" s="44"/>
      <c r="AE33" s="44">
        <v>9781</v>
      </c>
      <c r="AF33" s="44">
        <v>8060</v>
      </c>
      <c r="AG33" s="44">
        <v>1.19</v>
      </c>
      <c r="AH33" s="44">
        <v>7.91</v>
      </c>
      <c r="AI33" s="44">
        <v>2.77</v>
      </c>
      <c r="AJ33" s="44" t="s">
        <v>86</v>
      </c>
      <c r="AK33" s="44"/>
      <c r="AL33" s="44"/>
      <c r="AM33" s="44">
        <v>9674</v>
      </c>
      <c r="AN33" s="44">
        <v>7300</v>
      </c>
      <c r="AO33" s="44">
        <v>1.23</v>
      </c>
      <c r="AP33" s="44">
        <v>7.91</v>
      </c>
      <c r="AQ33" s="44">
        <v>3.08</v>
      </c>
      <c r="AR33" s="44" t="s">
        <v>86</v>
      </c>
      <c r="AS33" s="44"/>
      <c r="AT33" s="44"/>
      <c r="AU33" s="44">
        <v>9609</v>
      </c>
      <c r="AV33" s="44">
        <v>10580</v>
      </c>
      <c r="AW33" s="44">
        <v>1.84</v>
      </c>
      <c r="AX33" s="44">
        <v>7.76</v>
      </c>
      <c r="AY33" s="44">
        <v>3.36</v>
      </c>
      <c r="AZ33" s="44" t="s">
        <v>86</v>
      </c>
      <c r="BA33" s="44"/>
      <c r="BB33" s="44"/>
      <c r="BC33" s="44">
        <v>9821</v>
      </c>
      <c r="BD33" s="44">
        <v>10860</v>
      </c>
      <c r="BE33" s="44">
        <v>1.04</v>
      </c>
      <c r="BF33" s="44">
        <v>7.93</v>
      </c>
      <c r="BG33" s="44">
        <v>2.0099999999999998</v>
      </c>
      <c r="BH33" s="44" t="s">
        <v>98</v>
      </c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>
        <v>61.81</v>
      </c>
      <c r="CR33" s="47">
        <v>63.01</v>
      </c>
      <c r="CS33" s="44">
        <v>18.027000000000001</v>
      </c>
      <c r="CT33" s="44"/>
    </row>
    <row r="34" spans="1:98" ht="15.75" customHeight="1">
      <c r="A34" s="43">
        <v>33</v>
      </c>
      <c r="B34" s="44">
        <v>707</v>
      </c>
      <c r="C34" s="45">
        <v>45539</v>
      </c>
      <c r="D34" s="44">
        <v>6</v>
      </c>
      <c r="E34" s="44">
        <v>44000</v>
      </c>
      <c r="F34" s="44">
        <v>39000</v>
      </c>
      <c r="G34" s="44">
        <v>1.1599999999999999</v>
      </c>
      <c r="H34" s="44">
        <v>7.81</v>
      </c>
      <c r="I34" s="44">
        <v>3.39</v>
      </c>
      <c r="J34" s="44">
        <v>20</v>
      </c>
      <c r="K34" s="44">
        <v>1</v>
      </c>
      <c r="L34" s="44">
        <v>5</v>
      </c>
      <c r="M34" s="44">
        <v>0</v>
      </c>
      <c r="N34" s="44" t="s">
        <v>97</v>
      </c>
      <c r="O34" s="44">
        <v>9760</v>
      </c>
      <c r="P34" s="44">
        <v>6580</v>
      </c>
      <c r="Q34" s="44">
        <v>1.39</v>
      </c>
      <c r="R34" s="44">
        <v>7.69</v>
      </c>
      <c r="S34" s="44">
        <v>4.2</v>
      </c>
      <c r="T34" s="44" t="s">
        <v>98</v>
      </c>
      <c r="U34" s="44"/>
      <c r="V34" s="44"/>
      <c r="W34" s="44">
        <v>9745</v>
      </c>
      <c r="X34" s="44">
        <v>10780</v>
      </c>
      <c r="Y34" s="44">
        <v>1.1100000000000001</v>
      </c>
      <c r="Z34" s="44">
        <v>7.42</v>
      </c>
      <c r="AA34" s="44">
        <v>3.63</v>
      </c>
      <c r="AB34" s="44" t="s">
        <v>98</v>
      </c>
      <c r="AC34" s="44"/>
      <c r="AD34" s="44"/>
      <c r="AE34" s="44">
        <v>9654</v>
      </c>
      <c r="AF34" s="44">
        <v>7780</v>
      </c>
      <c r="AG34" s="44">
        <v>1.06</v>
      </c>
      <c r="AH34" s="44">
        <v>8.1300000000000008</v>
      </c>
      <c r="AI34" s="44">
        <v>2.94</v>
      </c>
      <c r="AJ34" s="44" t="s">
        <v>98</v>
      </c>
      <c r="AK34" s="44"/>
      <c r="AL34" s="44"/>
      <c r="AM34" s="44">
        <v>9801</v>
      </c>
      <c r="AN34" s="44">
        <v>8860</v>
      </c>
      <c r="AO34" s="44">
        <v>1.1200000000000001</v>
      </c>
      <c r="AP34" s="44">
        <v>7.96</v>
      </c>
      <c r="AQ34" s="44">
        <v>2.99</v>
      </c>
      <c r="AR34" s="44" t="s">
        <v>98</v>
      </c>
      <c r="AS34" s="44"/>
      <c r="AT34" s="44"/>
      <c r="AU34" s="44">
        <v>9590</v>
      </c>
      <c r="AV34" s="44">
        <v>6740</v>
      </c>
      <c r="AW34" s="44">
        <v>1.1000000000000001</v>
      </c>
      <c r="AX34" s="44">
        <v>7.92</v>
      </c>
      <c r="AY34" s="44">
        <v>3.5</v>
      </c>
      <c r="AZ34" s="44" t="s">
        <v>98</v>
      </c>
      <c r="BA34" s="44"/>
      <c r="BB34" s="44"/>
      <c r="BC34" s="44">
        <v>9815</v>
      </c>
      <c r="BD34" s="44">
        <v>3260</v>
      </c>
      <c r="BE34" s="44">
        <v>1.37</v>
      </c>
      <c r="BF34" s="44">
        <v>7.83</v>
      </c>
      <c r="BG34" s="44">
        <v>3.7</v>
      </c>
      <c r="BH34" s="44" t="s">
        <v>86</v>
      </c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>
        <v>66.39</v>
      </c>
      <c r="CR34" s="47">
        <v>67.55</v>
      </c>
      <c r="CS34" s="44">
        <v>19.545000000000002</v>
      </c>
      <c r="CT34" s="44"/>
    </row>
    <row r="35" spans="1:98" ht="15.75" customHeight="1">
      <c r="A35" s="43">
        <v>34</v>
      </c>
      <c r="B35" s="44">
        <v>708</v>
      </c>
      <c r="C35" s="45">
        <v>45569</v>
      </c>
      <c r="D35" s="44">
        <v>5</v>
      </c>
      <c r="E35" s="44">
        <v>35860</v>
      </c>
      <c r="F35" s="44">
        <v>31200</v>
      </c>
      <c r="G35" s="44">
        <v>1.26</v>
      </c>
      <c r="H35" s="44">
        <v>7.93</v>
      </c>
      <c r="I35" s="44">
        <v>3.8</v>
      </c>
      <c r="J35" s="44">
        <v>21</v>
      </c>
      <c r="K35" s="44">
        <v>4</v>
      </c>
      <c r="L35" s="44">
        <v>1</v>
      </c>
      <c r="M35" s="44">
        <v>0</v>
      </c>
      <c r="N35" s="44" t="s">
        <v>99</v>
      </c>
      <c r="O35" s="44">
        <v>9830</v>
      </c>
      <c r="P35" s="44">
        <v>9760</v>
      </c>
      <c r="Q35" s="44">
        <v>1.38</v>
      </c>
      <c r="R35" s="44">
        <v>7.95</v>
      </c>
      <c r="S35" s="44">
        <v>5.62</v>
      </c>
      <c r="T35" s="44" t="s">
        <v>86</v>
      </c>
      <c r="U35" s="44"/>
      <c r="V35" s="44"/>
      <c r="W35" s="44">
        <v>9763</v>
      </c>
      <c r="X35" s="44">
        <v>9360</v>
      </c>
      <c r="Y35" s="44">
        <v>1.22</v>
      </c>
      <c r="Z35" s="44">
        <v>7.73</v>
      </c>
      <c r="AA35" s="44">
        <v>3.12</v>
      </c>
      <c r="AB35" s="44" t="s">
        <v>86</v>
      </c>
      <c r="AC35" s="44"/>
      <c r="AD35" s="44"/>
      <c r="AE35" s="44">
        <v>9800</v>
      </c>
      <c r="AF35" s="44">
        <v>4260</v>
      </c>
      <c r="AG35" s="44">
        <v>1.17</v>
      </c>
      <c r="AH35" s="44">
        <v>7.87</v>
      </c>
      <c r="AI35" s="44">
        <v>3.11</v>
      </c>
      <c r="AJ35" s="44" t="s">
        <v>98</v>
      </c>
      <c r="AK35" s="44"/>
      <c r="AL35" s="44"/>
      <c r="AM35" s="44">
        <v>9525</v>
      </c>
      <c r="AN35" s="44">
        <v>5080</v>
      </c>
      <c r="AO35" s="44">
        <v>1.39</v>
      </c>
      <c r="AP35" s="44">
        <v>7.94</v>
      </c>
      <c r="AQ35" s="44">
        <v>3.08</v>
      </c>
      <c r="AR35" s="44" t="s">
        <v>86</v>
      </c>
      <c r="AS35" s="44"/>
      <c r="AT35" s="44"/>
      <c r="AU35" s="44">
        <v>9786</v>
      </c>
      <c r="AV35" s="44">
        <v>7400</v>
      </c>
      <c r="AW35" s="44">
        <v>1.06</v>
      </c>
      <c r="AX35" s="44">
        <v>7.89</v>
      </c>
      <c r="AY35" s="44">
        <v>2.94</v>
      </c>
      <c r="AZ35" s="44" t="s">
        <v>86</v>
      </c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>
        <v>70.959999999999994</v>
      </c>
      <c r="CR35" s="47">
        <v>72.22</v>
      </c>
      <c r="CS35" s="44">
        <v>20.771999999999998</v>
      </c>
      <c r="CT35" s="44"/>
    </row>
    <row r="36" spans="1:98" ht="15.75" customHeight="1">
      <c r="A36" s="43">
        <v>35</v>
      </c>
      <c r="B36" s="44">
        <v>710</v>
      </c>
      <c r="C36" s="45">
        <v>45630</v>
      </c>
      <c r="D36" s="44">
        <v>5</v>
      </c>
      <c r="E36" s="44">
        <v>27360</v>
      </c>
      <c r="F36" s="44">
        <v>23400</v>
      </c>
      <c r="G36" s="44">
        <v>1.1399999999999999</v>
      </c>
      <c r="H36" s="44">
        <v>7.87</v>
      </c>
      <c r="I36" s="44">
        <v>3.56</v>
      </c>
      <c r="J36" s="44">
        <v>20</v>
      </c>
      <c r="K36" s="44">
        <v>1</v>
      </c>
      <c r="L36" s="44">
        <v>4</v>
      </c>
      <c r="M36" s="44">
        <v>0</v>
      </c>
      <c r="N36" s="44" t="s">
        <v>97</v>
      </c>
      <c r="O36" s="44">
        <v>9753</v>
      </c>
      <c r="P36" s="44">
        <v>3380</v>
      </c>
      <c r="Q36" s="44">
        <v>1.1100000000000001</v>
      </c>
      <c r="R36" s="44">
        <v>7.88</v>
      </c>
      <c r="S36" s="44">
        <v>4.16</v>
      </c>
      <c r="T36" s="44" t="s">
        <v>98</v>
      </c>
      <c r="U36" s="44"/>
      <c r="V36" s="44"/>
      <c r="W36" s="44">
        <v>9807</v>
      </c>
      <c r="X36" s="44">
        <v>3080</v>
      </c>
      <c r="Y36" s="44">
        <v>1.21</v>
      </c>
      <c r="Z36" s="44">
        <v>8.0500000000000007</v>
      </c>
      <c r="AA36" s="44">
        <v>3.68</v>
      </c>
      <c r="AB36" s="44" t="s">
        <v>98</v>
      </c>
      <c r="AC36" s="44"/>
      <c r="AD36" s="44"/>
      <c r="AE36" s="44">
        <v>9744</v>
      </c>
      <c r="AF36" s="44">
        <v>9460</v>
      </c>
      <c r="AG36" s="44">
        <v>1.18</v>
      </c>
      <c r="AH36" s="44">
        <v>7.78</v>
      </c>
      <c r="AI36" s="44">
        <v>3.86</v>
      </c>
      <c r="AJ36" s="44" t="s">
        <v>86</v>
      </c>
      <c r="AK36" s="44"/>
      <c r="AL36" s="44"/>
      <c r="AM36" s="44">
        <v>9849</v>
      </c>
      <c r="AN36" s="44">
        <v>7820</v>
      </c>
      <c r="AO36" s="44">
        <v>1.08</v>
      </c>
      <c r="AP36" s="44">
        <v>8</v>
      </c>
      <c r="AQ36" s="44">
        <v>2.5</v>
      </c>
      <c r="AR36" s="44" t="s">
        <v>98</v>
      </c>
      <c r="AS36" s="44"/>
      <c r="AT36" s="44"/>
      <c r="AU36" s="44">
        <v>9814</v>
      </c>
      <c r="AV36" s="44">
        <v>3620</v>
      </c>
      <c r="AW36" s="44">
        <v>1.06</v>
      </c>
      <c r="AX36" s="44">
        <v>7.83</v>
      </c>
      <c r="AY36" s="44">
        <v>4.01</v>
      </c>
      <c r="AZ36" s="44" t="s">
        <v>98</v>
      </c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>
        <v>68.08</v>
      </c>
      <c r="CR36" s="47">
        <v>69.22</v>
      </c>
      <c r="CS36" s="44">
        <v>19.98</v>
      </c>
      <c r="CT36" s="44"/>
    </row>
    <row r="37" spans="1:98" ht="15.75" customHeight="1">
      <c r="A37" s="43">
        <v>36</v>
      </c>
      <c r="B37" s="44">
        <v>716</v>
      </c>
      <c r="C37" s="44" t="s">
        <v>122</v>
      </c>
      <c r="D37" s="44">
        <v>6</v>
      </c>
      <c r="E37" s="44">
        <v>44120</v>
      </c>
      <c r="F37" s="44">
        <v>39000</v>
      </c>
      <c r="G37" s="44">
        <v>1.17</v>
      </c>
      <c r="H37" s="44">
        <v>7.91</v>
      </c>
      <c r="I37" s="44">
        <v>3.51</v>
      </c>
      <c r="J37" s="44">
        <v>20</v>
      </c>
      <c r="K37" s="44">
        <v>4</v>
      </c>
      <c r="L37" s="44">
        <v>2</v>
      </c>
      <c r="M37" s="44">
        <v>0</v>
      </c>
      <c r="N37" s="44" t="s">
        <v>97</v>
      </c>
      <c r="O37" s="44">
        <v>9575</v>
      </c>
      <c r="P37" s="44">
        <v>8040</v>
      </c>
      <c r="Q37" s="44">
        <v>1.03</v>
      </c>
      <c r="R37" s="44">
        <v>7.91</v>
      </c>
      <c r="S37" s="44">
        <v>3.99</v>
      </c>
      <c r="T37" s="44" t="s">
        <v>98</v>
      </c>
      <c r="U37" s="44"/>
      <c r="V37" s="44"/>
      <c r="W37" s="44">
        <v>9803</v>
      </c>
      <c r="X37" s="44">
        <v>3340</v>
      </c>
      <c r="Y37" s="44">
        <v>1.24</v>
      </c>
      <c r="Z37" s="44">
        <v>7.82</v>
      </c>
      <c r="AA37" s="44">
        <v>2.63</v>
      </c>
      <c r="AB37" s="44" t="s">
        <v>86</v>
      </c>
      <c r="AC37" s="44"/>
      <c r="AD37" s="44"/>
      <c r="AE37" s="44">
        <v>9426</v>
      </c>
      <c r="AF37" s="44">
        <v>9520</v>
      </c>
      <c r="AG37" s="44">
        <v>1.36</v>
      </c>
      <c r="AH37" s="44">
        <v>8.02</v>
      </c>
      <c r="AI37" s="44">
        <v>4.3499999999999996</v>
      </c>
      <c r="AJ37" s="44" t="s">
        <v>86</v>
      </c>
      <c r="AK37" s="44"/>
      <c r="AL37" s="44"/>
      <c r="AM37" s="44">
        <v>9827</v>
      </c>
      <c r="AN37" s="44">
        <v>7020</v>
      </c>
      <c r="AO37" s="44">
        <v>1.06</v>
      </c>
      <c r="AP37" s="44">
        <v>7.71</v>
      </c>
      <c r="AQ37" s="44">
        <v>3.27</v>
      </c>
      <c r="AR37" s="44" t="s">
        <v>98</v>
      </c>
      <c r="AS37" s="44"/>
      <c r="AT37" s="44"/>
      <c r="AU37" s="44">
        <v>9848</v>
      </c>
      <c r="AV37" s="44">
        <v>9040</v>
      </c>
      <c r="AW37" s="44">
        <v>1.0900000000000001</v>
      </c>
      <c r="AX37" s="44">
        <v>7.94</v>
      </c>
      <c r="AY37" s="44">
        <v>2.71</v>
      </c>
      <c r="AZ37" s="44" t="s">
        <v>86</v>
      </c>
      <c r="BA37" s="44"/>
      <c r="BB37" s="44"/>
      <c r="BC37" s="44">
        <v>9926</v>
      </c>
      <c r="BD37" s="44">
        <v>7160</v>
      </c>
      <c r="BE37" s="44">
        <v>1.25</v>
      </c>
      <c r="BF37" s="44">
        <v>7.92</v>
      </c>
      <c r="BG37" s="44">
        <v>3.43</v>
      </c>
      <c r="BH37" s="44" t="s">
        <v>86</v>
      </c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>
        <v>67.91</v>
      </c>
      <c r="CR37" s="47">
        <v>69.08</v>
      </c>
      <c r="CS37" s="44">
        <v>19.881</v>
      </c>
      <c r="CT37" s="44"/>
    </row>
    <row r="38" spans="1:98" ht="15.75" customHeight="1">
      <c r="A38" s="43">
        <v>37</v>
      </c>
      <c r="B38" s="44">
        <v>718</v>
      </c>
      <c r="C38" s="44" t="s">
        <v>123</v>
      </c>
      <c r="D38" s="44">
        <v>7</v>
      </c>
      <c r="E38" s="44">
        <v>44500</v>
      </c>
      <c r="F38" s="44">
        <v>39000</v>
      </c>
      <c r="G38" s="44">
        <v>1.23</v>
      </c>
      <c r="H38" s="44">
        <v>2.88</v>
      </c>
      <c r="I38" s="44">
        <v>3.83</v>
      </c>
      <c r="J38" s="44">
        <v>21</v>
      </c>
      <c r="K38" s="44">
        <v>4</v>
      </c>
      <c r="L38" s="44">
        <v>3</v>
      </c>
      <c r="M38" s="44">
        <v>0</v>
      </c>
      <c r="N38" s="44" t="s">
        <v>99</v>
      </c>
      <c r="O38" s="44">
        <v>9716</v>
      </c>
      <c r="P38" s="44">
        <v>6500</v>
      </c>
      <c r="Q38" s="44">
        <v>1.24</v>
      </c>
      <c r="R38" s="44">
        <v>8.08</v>
      </c>
      <c r="S38" s="44">
        <v>3.16</v>
      </c>
      <c r="T38" s="44" t="s">
        <v>86</v>
      </c>
      <c r="U38" s="44"/>
      <c r="V38" s="44"/>
      <c r="W38" s="44">
        <v>9933</v>
      </c>
      <c r="X38" s="44">
        <v>8660</v>
      </c>
      <c r="Y38" s="44">
        <v>1.24</v>
      </c>
      <c r="Z38" s="44">
        <v>7.9</v>
      </c>
      <c r="AA38" s="44">
        <v>3.36</v>
      </c>
      <c r="AB38" s="44" t="s">
        <v>86</v>
      </c>
      <c r="AC38" s="44"/>
      <c r="AD38" s="44"/>
      <c r="AE38" s="44">
        <v>9946</v>
      </c>
      <c r="AF38" s="44">
        <v>7080</v>
      </c>
      <c r="AG38" s="44">
        <v>1.1000000000000001</v>
      </c>
      <c r="AH38" s="44">
        <v>8.0299999999999994</v>
      </c>
      <c r="AI38" s="44">
        <v>4.79</v>
      </c>
      <c r="AJ38" s="44" t="s">
        <v>98</v>
      </c>
      <c r="AK38" s="44"/>
      <c r="AL38" s="44"/>
      <c r="AM38" s="44">
        <v>9953</v>
      </c>
      <c r="AN38" s="44">
        <v>8860</v>
      </c>
      <c r="AO38" s="44">
        <v>1.19</v>
      </c>
      <c r="AP38" s="44">
        <v>7.83</v>
      </c>
      <c r="AQ38" s="44">
        <v>4.12</v>
      </c>
      <c r="AR38" s="44" t="s">
        <v>98</v>
      </c>
      <c r="AS38" s="44"/>
      <c r="AT38" s="44"/>
      <c r="AU38" s="44">
        <v>9898</v>
      </c>
      <c r="AV38" s="44">
        <v>7080</v>
      </c>
      <c r="AW38" s="44">
        <v>1.5</v>
      </c>
      <c r="AX38" s="44">
        <v>7.61</v>
      </c>
      <c r="AY38" s="44">
        <v>3.33</v>
      </c>
      <c r="AZ38" s="44" t="s">
        <v>86</v>
      </c>
      <c r="BA38" s="44"/>
      <c r="BB38" s="44"/>
      <c r="BC38" s="44">
        <v>9871</v>
      </c>
      <c r="BD38" s="44">
        <v>2240</v>
      </c>
      <c r="BE38" s="44">
        <v>1.29</v>
      </c>
      <c r="BF38" s="44">
        <v>7.86</v>
      </c>
      <c r="BG38" s="44">
        <v>2.63</v>
      </c>
      <c r="BH38" s="44" t="s">
        <v>86</v>
      </c>
      <c r="BI38" s="44"/>
      <c r="BJ38" s="44"/>
      <c r="BK38" s="44">
        <v>9899</v>
      </c>
      <c r="BL38" s="44">
        <v>4080</v>
      </c>
      <c r="BM38" s="44">
        <v>1.08</v>
      </c>
      <c r="BN38" s="44">
        <v>7.82</v>
      </c>
      <c r="BO38" s="44">
        <v>4.8600000000000003</v>
      </c>
      <c r="BP38" s="44" t="s">
        <v>98</v>
      </c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>
        <v>50.91</v>
      </c>
      <c r="CR38" s="47">
        <v>52.14</v>
      </c>
      <c r="CS38" s="44">
        <v>20.817</v>
      </c>
      <c r="CT38" s="44"/>
    </row>
    <row r="39" spans="1:98" ht="15.75" customHeight="1">
      <c r="A39" s="43">
        <v>38</v>
      </c>
      <c r="B39" s="44">
        <v>721</v>
      </c>
      <c r="C39" s="44" t="s">
        <v>124</v>
      </c>
      <c r="D39" s="44">
        <v>7</v>
      </c>
      <c r="E39" s="44">
        <v>51960</v>
      </c>
      <c r="F39" s="44">
        <v>46800</v>
      </c>
      <c r="G39" s="44">
        <v>1.2</v>
      </c>
      <c r="H39" s="44">
        <v>7.85</v>
      </c>
      <c r="I39" s="44">
        <v>3.12</v>
      </c>
      <c r="J39" s="44">
        <v>19</v>
      </c>
      <c r="K39" s="44">
        <v>3</v>
      </c>
      <c r="L39" s="44">
        <v>4</v>
      </c>
      <c r="M39" s="44">
        <v>0</v>
      </c>
      <c r="N39" s="44" t="s">
        <v>111</v>
      </c>
      <c r="O39" s="44">
        <v>9983</v>
      </c>
      <c r="P39" s="44">
        <v>9480</v>
      </c>
      <c r="Q39" s="44">
        <v>1.1100000000000001</v>
      </c>
      <c r="R39" s="44">
        <v>7.97</v>
      </c>
      <c r="S39" s="44">
        <v>4.67</v>
      </c>
      <c r="T39" s="44" t="s">
        <v>98</v>
      </c>
      <c r="U39" s="44"/>
      <c r="V39" s="44"/>
      <c r="W39" s="44">
        <v>9833</v>
      </c>
      <c r="X39" s="44">
        <v>9340</v>
      </c>
      <c r="Y39" s="44">
        <v>1.1200000000000001</v>
      </c>
      <c r="Z39" s="44">
        <v>8.1199999999999992</v>
      </c>
      <c r="AA39" s="44">
        <v>2.68</v>
      </c>
      <c r="AB39" s="44" t="s">
        <v>86</v>
      </c>
      <c r="AC39" s="44"/>
      <c r="AD39" s="44"/>
      <c r="AE39" s="44">
        <v>9986</v>
      </c>
      <c r="AF39" s="44">
        <v>6880</v>
      </c>
      <c r="AG39" s="44">
        <v>1.1399999999999999</v>
      </c>
      <c r="AH39" s="44">
        <v>7.88</v>
      </c>
      <c r="AI39" s="44">
        <v>3.78</v>
      </c>
      <c r="AJ39" s="44" t="s">
        <v>98</v>
      </c>
      <c r="AK39" s="44"/>
      <c r="AL39" s="44"/>
      <c r="AM39" s="44">
        <v>9994</v>
      </c>
      <c r="AN39" s="44">
        <v>3380</v>
      </c>
      <c r="AO39" s="44">
        <v>1.34</v>
      </c>
      <c r="AP39" s="44">
        <v>7.75</v>
      </c>
      <c r="AQ39" s="44">
        <v>2.52</v>
      </c>
      <c r="AR39" s="44" t="s">
        <v>98</v>
      </c>
      <c r="AS39" s="44"/>
      <c r="AT39" s="44"/>
      <c r="AU39" s="44">
        <v>9987</v>
      </c>
      <c r="AV39" s="44">
        <v>7200</v>
      </c>
      <c r="AW39" s="44">
        <v>1.57</v>
      </c>
      <c r="AX39" s="44">
        <v>7.91</v>
      </c>
      <c r="AY39" s="44">
        <v>4.08</v>
      </c>
      <c r="AZ39" s="44" t="s">
        <v>86</v>
      </c>
      <c r="BA39" s="44"/>
      <c r="BB39" s="44"/>
      <c r="BC39" s="44">
        <v>9843</v>
      </c>
      <c r="BD39" s="44">
        <v>6680</v>
      </c>
      <c r="BE39" s="44">
        <v>1.06</v>
      </c>
      <c r="BF39" s="44">
        <v>7.82</v>
      </c>
      <c r="BG39" s="44">
        <v>0.85</v>
      </c>
      <c r="BH39" s="44" t="s">
        <v>98</v>
      </c>
      <c r="BI39" s="44"/>
      <c r="BJ39" s="44"/>
      <c r="BK39" s="44">
        <v>9999</v>
      </c>
      <c r="BL39" s="44">
        <v>9000</v>
      </c>
      <c r="BM39" s="44">
        <v>1.25</v>
      </c>
      <c r="BN39" s="44">
        <v>7.44</v>
      </c>
      <c r="BO39" s="44">
        <v>2.59</v>
      </c>
      <c r="BP39" s="44" t="s">
        <v>86</v>
      </c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>
        <v>64.28</v>
      </c>
      <c r="CR39" s="47">
        <v>65.48</v>
      </c>
      <c r="CS39" s="44">
        <v>18.864000000000001</v>
      </c>
      <c r="CT39" s="44"/>
    </row>
    <row r="40" spans="1:98" ht="15.75" customHeight="1">
      <c r="A40" s="43">
        <v>39</v>
      </c>
      <c r="B40" s="44">
        <v>724</v>
      </c>
      <c r="C40" s="45">
        <v>45356</v>
      </c>
      <c r="D40" s="44">
        <v>5</v>
      </c>
      <c r="E40" s="44">
        <v>35880</v>
      </c>
      <c r="F40" s="44">
        <v>31200</v>
      </c>
      <c r="G40" s="44">
        <v>1.17</v>
      </c>
      <c r="H40" s="44">
        <v>7.84</v>
      </c>
      <c r="I40" s="44">
        <v>3.68</v>
      </c>
      <c r="J40" s="44">
        <v>20</v>
      </c>
      <c r="K40" s="44">
        <v>2</v>
      </c>
      <c r="L40" s="44">
        <v>3</v>
      </c>
      <c r="M40" s="44">
        <v>0</v>
      </c>
      <c r="N40" s="44" t="s">
        <v>97</v>
      </c>
      <c r="O40" s="44">
        <v>9988</v>
      </c>
      <c r="P40" s="44">
        <v>8300</v>
      </c>
      <c r="Q40" s="44">
        <v>1.28</v>
      </c>
      <c r="R40" s="44">
        <v>8</v>
      </c>
      <c r="S40" s="44">
        <v>3.91</v>
      </c>
      <c r="T40" s="44" t="s">
        <v>86</v>
      </c>
      <c r="U40" s="44"/>
      <c r="V40" s="44"/>
      <c r="W40" s="44">
        <v>9982</v>
      </c>
      <c r="X40" s="44">
        <v>5160</v>
      </c>
      <c r="Y40" s="44">
        <v>1.2</v>
      </c>
      <c r="Z40" s="44">
        <v>7.85</v>
      </c>
      <c r="AA40" s="44">
        <v>4.96</v>
      </c>
      <c r="AB40" s="44" t="s">
        <v>98</v>
      </c>
      <c r="AC40" s="44"/>
      <c r="AD40" s="44"/>
      <c r="AE40" s="44">
        <v>9964</v>
      </c>
      <c r="AF40" s="44">
        <v>6720</v>
      </c>
      <c r="AG40" s="44">
        <v>1.25</v>
      </c>
      <c r="AH40" s="44">
        <v>7.9</v>
      </c>
      <c r="AI40" s="44">
        <v>2.68</v>
      </c>
      <c r="AJ40" s="44" t="s">
        <v>86</v>
      </c>
      <c r="AK40" s="44"/>
      <c r="AL40" s="44"/>
      <c r="AM40" s="44">
        <v>10038</v>
      </c>
      <c r="AN40" s="44">
        <v>7340</v>
      </c>
      <c r="AO40" s="44">
        <v>1.1100000000000001</v>
      </c>
      <c r="AP40" s="44">
        <v>7.69</v>
      </c>
      <c r="AQ40" s="44">
        <v>4.2300000000000004</v>
      </c>
      <c r="AR40" s="44" t="s">
        <v>98</v>
      </c>
      <c r="AS40" s="44"/>
      <c r="AT40" s="44"/>
      <c r="AU40" s="44">
        <v>9851</v>
      </c>
      <c r="AV40" s="44">
        <v>8360</v>
      </c>
      <c r="AW40" s="44">
        <v>1.05</v>
      </c>
      <c r="AX40" s="44">
        <v>7.84</v>
      </c>
      <c r="AY40" s="44">
        <v>2.98</v>
      </c>
      <c r="AZ40" s="44" t="s">
        <v>98</v>
      </c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>
        <v>69.16</v>
      </c>
      <c r="CR40" s="47">
        <v>70.33</v>
      </c>
      <c r="CS40" s="44">
        <v>20.34</v>
      </c>
      <c r="CT40" s="44"/>
    </row>
    <row r="41" spans="1:98" ht="15.75" customHeight="1">
      <c r="A41" s="50">
        <v>40</v>
      </c>
      <c r="B41" s="44">
        <v>727</v>
      </c>
      <c r="C41" s="45">
        <v>45509</v>
      </c>
      <c r="D41" s="44">
        <v>5</v>
      </c>
      <c r="E41" s="44">
        <v>36160</v>
      </c>
      <c r="F41" s="44">
        <v>27100</v>
      </c>
      <c r="G41" s="44">
        <v>1.21</v>
      </c>
      <c r="H41" s="44">
        <v>7.91</v>
      </c>
      <c r="I41" s="44">
        <v>3.34</v>
      </c>
      <c r="J41" s="44">
        <v>20</v>
      </c>
      <c r="K41" s="44">
        <v>3</v>
      </c>
      <c r="L41" s="44">
        <v>2</v>
      </c>
      <c r="M41" s="44">
        <v>0</v>
      </c>
      <c r="N41" s="44" t="s">
        <v>99</v>
      </c>
      <c r="O41" s="44">
        <v>9965</v>
      </c>
      <c r="P41" s="44">
        <v>7680</v>
      </c>
      <c r="Q41" s="44">
        <v>1.18</v>
      </c>
      <c r="R41" s="44">
        <v>7.73</v>
      </c>
      <c r="S41" s="44">
        <v>2.71</v>
      </c>
      <c r="T41" s="44" t="s">
        <v>86</v>
      </c>
      <c r="U41" s="44"/>
      <c r="V41" s="44"/>
      <c r="W41" s="44">
        <v>9650</v>
      </c>
      <c r="X41" s="44">
        <v>6340</v>
      </c>
      <c r="Y41" s="44">
        <v>1.3</v>
      </c>
      <c r="Z41" s="44">
        <v>7.77</v>
      </c>
      <c r="AA41" s="44">
        <v>3.39</v>
      </c>
      <c r="AB41" s="44" t="s">
        <v>86</v>
      </c>
      <c r="AC41" s="44"/>
      <c r="AD41" s="44"/>
      <c r="AE41" s="44">
        <v>9847</v>
      </c>
      <c r="AF41" s="44">
        <v>8680</v>
      </c>
      <c r="AG41" s="44">
        <v>1.22</v>
      </c>
      <c r="AH41" s="44">
        <v>8.06</v>
      </c>
      <c r="AI41" s="44">
        <v>3.95</v>
      </c>
      <c r="AJ41" s="44" t="s">
        <v>86</v>
      </c>
      <c r="AK41" s="44"/>
      <c r="AL41" s="44"/>
      <c r="AM41" s="44">
        <v>10039</v>
      </c>
      <c r="AN41" s="44">
        <v>7160</v>
      </c>
      <c r="AO41" s="44">
        <v>1.23</v>
      </c>
      <c r="AP41" s="44">
        <v>7.97</v>
      </c>
      <c r="AQ41" s="44">
        <v>2.57</v>
      </c>
      <c r="AR41" s="44" t="s">
        <v>98</v>
      </c>
      <c r="AS41" s="44"/>
      <c r="AT41" s="44"/>
      <c r="AU41" s="44">
        <v>10050</v>
      </c>
      <c r="AV41" s="44">
        <v>6300</v>
      </c>
      <c r="AW41" s="44">
        <v>1.2</v>
      </c>
      <c r="AX41" s="44">
        <v>7.98</v>
      </c>
      <c r="AY41" s="44">
        <v>4.08</v>
      </c>
      <c r="AZ41" s="44" t="s">
        <v>98</v>
      </c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>
        <v>66.540000000000006</v>
      </c>
      <c r="CR41" s="47">
        <v>67.75</v>
      </c>
      <c r="CS41" s="44">
        <v>19.47</v>
      </c>
      <c r="CT41" s="44"/>
    </row>
    <row r="42" spans="1:98" ht="15.75" customHeight="1">
      <c r="A42" s="50">
        <v>41</v>
      </c>
      <c r="B42" s="44">
        <v>728</v>
      </c>
      <c r="C42" s="45">
        <v>45540</v>
      </c>
      <c r="D42" s="44">
        <v>5</v>
      </c>
      <c r="E42" s="44">
        <v>36640</v>
      </c>
      <c r="F42" s="44">
        <v>27300</v>
      </c>
      <c r="G42" s="44">
        <v>1.18</v>
      </c>
      <c r="H42" s="44">
        <v>7.85</v>
      </c>
      <c r="I42" s="44">
        <v>3.95</v>
      </c>
      <c r="J42" s="44">
        <v>21</v>
      </c>
      <c r="K42" s="44">
        <v>1</v>
      </c>
      <c r="L42" s="44">
        <v>4</v>
      </c>
      <c r="M42" s="44">
        <v>0</v>
      </c>
      <c r="N42" s="44" t="s">
        <v>97</v>
      </c>
      <c r="O42" s="44">
        <v>9762</v>
      </c>
      <c r="P42" s="44">
        <v>8340</v>
      </c>
      <c r="Q42" s="44">
        <v>1.18</v>
      </c>
      <c r="R42" s="44">
        <v>7.79</v>
      </c>
      <c r="S42" s="44">
        <v>4.33</v>
      </c>
      <c r="T42" s="44" t="s">
        <v>86</v>
      </c>
      <c r="U42" s="44"/>
      <c r="V42" s="44"/>
      <c r="W42" s="44">
        <v>10092</v>
      </c>
      <c r="X42" s="44">
        <v>9640</v>
      </c>
      <c r="Y42" s="44">
        <v>1.2</v>
      </c>
      <c r="Z42" s="44">
        <v>8.23</v>
      </c>
      <c r="AA42" s="44">
        <v>3.37</v>
      </c>
      <c r="AB42" s="44" t="s">
        <v>98</v>
      </c>
      <c r="AC42" s="44"/>
      <c r="AD42" s="44"/>
      <c r="AE42" s="44">
        <v>10089</v>
      </c>
      <c r="AF42" s="44">
        <v>7000</v>
      </c>
      <c r="AG42" s="44">
        <v>1.27</v>
      </c>
      <c r="AH42" s="44">
        <v>7.8</v>
      </c>
      <c r="AI42" s="44">
        <v>4.17</v>
      </c>
      <c r="AJ42" s="44" t="s">
        <v>98</v>
      </c>
      <c r="AK42" s="44"/>
      <c r="AL42" s="44"/>
      <c r="AM42" s="44">
        <v>10035</v>
      </c>
      <c r="AN42" s="44">
        <v>6740</v>
      </c>
      <c r="AO42" s="44">
        <v>1.21</v>
      </c>
      <c r="AP42" s="44">
        <v>7.8</v>
      </c>
      <c r="AQ42" s="44">
        <v>4.17</v>
      </c>
      <c r="AR42" s="44" t="s">
        <v>98</v>
      </c>
      <c r="AS42" s="44"/>
      <c r="AT42" s="44"/>
      <c r="AU42" s="44">
        <v>10052</v>
      </c>
      <c r="AV42" s="44">
        <v>4920</v>
      </c>
      <c r="AW42" s="44">
        <v>1.06</v>
      </c>
      <c r="AX42" s="44">
        <v>7.82</v>
      </c>
      <c r="AY42" s="44">
        <v>4.04</v>
      </c>
      <c r="AZ42" s="44" t="s">
        <v>98</v>
      </c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>
        <v>71.67</v>
      </c>
      <c r="CR42" s="47">
        <v>72.849999999999994</v>
      </c>
      <c r="CS42" s="44">
        <v>21.081</v>
      </c>
      <c r="CT42" s="44"/>
    </row>
    <row r="43" spans="1:98" ht="15.75" customHeight="1">
      <c r="A43" s="43">
        <v>42</v>
      </c>
      <c r="B43" s="44">
        <v>729</v>
      </c>
      <c r="C43" s="45">
        <v>45570</v>
      </c>
      <c r="D43" s="44">
        <v>5</v>
      </c>
      <c r="E43" s="44">
        <v>36060</v>
      </c>
      <c r="F43" s="44">
        <v>31100</v>
      </c>
      <c r="G43" s="44">
        <v>1.32</v>
      </c>
      <c r="H43" s="44">
        <v>7.79</v>
      </c>
      <c r="I43" s="44">
        <v>3.79</v>
      </c>
      <c r="J43" s="44">
        <v>21</v>
      </c>
      <c r="K43" s="44">
        <v>3</v>
      </c>
      <c r="L43" s="44">
        <v>1</v>
      </c>
      <c r="M43" s="44">
        <v>1</v>
      </c>
      <c r="N43" s="44" t="s">
        <v>99</v>
      </c>
      <c r="O43" s="44">
        <v>10071</v>
      </c>
      <c r="P43" s="44">
        <v>5000</v>
      </c>
      <c r="Q43" s="44">
        <v>1.61</v>
      </c>
      <c r="R43" s="44">
        <v>7.72</v>
      </c>
      <c r="S43" s="44">
        <v>3.58</v>
      </c>
      <c r="T43" s="44" t="s">
        <v>86</v>
      </c>
      <c r="U43" s="44"/>
      <c r="V43" s="44"/>
      <c r="W43" s="44">
        <v>10090</v>
      </c>
      <c r="X43" s="44">
        <v>11060</v>
      </c>
      <c r="Y43" s="44">
        <v>1.33</v>
      </c>
      <c r="Z43" s="44">
        <v>7.77</v>
      </c>
      <c r="AA43" s="44">
        <v>5.15</v>
      </c>
      <c r="AB43" s="44" t="s">
        <v>106</v>
      </c>
      <c r="AC43" s="44"/>
      <c r="AD43" s="44"/>
      <c r="AE43" s="44">
        <v>9981</v>
      </c>
      <c r="AF43" s="44">
        <v>6800</v>
      </c>
      <c r="AG43" s="44">
        <v>1.48</v>
      </c>
      <c r="AH43" s="44">
        <v>7.84</v>
      </c>
      <c r="AI43" s="44">
        <v>3.21</v>
      </c>
      <c r="AJ43" s="44" t="s">
        <v>86</v>
      </c>
      <c r="AK43" s="44"/>
      <c r="AL43" s="44"/>
      <c r="AM43" s="44">
        <v>10047</v>
      </c>
      <c r="AN43" s="44">
        <v>7900</v>
      </c>
      <c r="AO43" s="44">
        <v>1.1399999999999999</v>
      </c>
      <c r="AP43" s="44">
        <v>7.71</v>
      </c>
      <c r="AQ43" s="44">
        <v>2.88</v>
      </c>
      <c r="AR43" s="44" t="s">
        <v>98</v>
      </c>
      <c r="AS43" s="44"/>
      <c r="AT43" s="44"/>
      <c r="AU43" s="44">
        <v>10070</v>
      </c>
      <c r="AV43" s="44">
        <v>5300</v>
      </c>
      <c r="AW43" s="44">
        <v>1.1100000000000001</v>
      </c>
      <c r="AX43" s="44">
        <v>8.02</v>
      </c>
      <c r="AY43" s="44">
        <v>3.26</v>
      </c>
      <c r="AZ43" s="44" t="s">
        <v>86</v>
      </c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>
        <v>70.55</v>
      </c>
      <c r="CR43" s="47">
        <v>71.87</v>
      </c>
      <c r="CS43" s="44">
        <v>20.817</v>
      </c>
      <c r="CT43" s="44"/>
    </row>
    <row r="44" spans="1:98" ht="15.75" customHeight="1">
      <c r="A44" s="43">
        <v>43</v>
      </c>
      <c r="B44" s="44">
        <v>730</v>
      </c>
      <c r="C44" s="44" t="s">
        <v>125</v>
      </c>
      <c r="D44" s="44">
        <v>5</v>
      </c>
      <c r="E44" s="44">
        <v>44640</v>
      </c>
      <c r="F44" s="44">
        <v>39000</v>
      </c>
      <c r="G44" s="44">
        <v>1.17</v>
      </c>
      <c r="H44" s="44">
        <v>7.95</v>
      </c>
      <c r="I44" s="44">
        <v>3.66</v>
      </c>
      <c r="J44" s="44">
        <v>21</v>
      </c>
      <c r="K44" s="44">
        <v>3</v>
      </c>
      <c r="L44" s="44">
        <v>2</v>
      </c>
      <c r="M44" s="44">
        <v>0</v>
      </c>
      <c r="N44" s="44" t="s">
        <v>97</v>
      </c>
      <c r="O44" s="44">
        <v>10091</v>
      </c>
      <c r="P44" s="44">
        <v>9360</v>
      </c>
      <c r="Q44" s="44">
        <v>1.1499999999999999</v>
      </c>
      <c r="R44" s="44">
        <v>7.92</v>
      </c>
      <c r="S44" s="44">
        <v>3.19</v>
      </c>
      <c r="T44" s="44" t="s">
        <v>86</v>
      </c>
      <c r="U44" s="44"/>
      <c r="V44" s="44"/>
      <c r="W44" s="44">
        <v>9831</v>
      </c>
      <c r="X44" s="44">
        <v>8440</v>
      </c>
      <c r="Y44" s="44">
        <v>1.29</v>
      </c>
      <c r="Z44" s="44">
        <v>8</v>
      </c>
      <c r="AA44" s="44">
        <v>5.28</v>
      </c>
      <c r="AB44" s="44" t="s">
        <v>86</v>
      </c>
      <c r="AC44" s="44"/>
      <c r="AD44" s="44"/>
      <c r="AE44" s="44">
        <v>10010</v>
      </c>
      <c r="AF44" s="44">
        <v>10840</v>
      </c>
      <c r="AG44" s="44">
        <v>1.1499999999999999</v>
      </c>
      <c r="AH44" s="44">
        <v>7.93</v>
      </c>
      <c r="AI44" s="44">
        <v>3.69</v>
      </c>
      <c r="AJ44" s="44" t="s">
        <v>98</v>
      </c>
      <c r="AK44" s="44"/>
      <c r="AL44" s="44"/>
      <c r="AM44" s="44">
        <v>10045</v>
      </c>
      <c r="AN44" s="44">
        <v>7340</v>
      </c>
      <c r="AO44" s="44">
        <v>1.25</v>
      </c>
      <c r="AP44" s="44">
        <v>7.9</v>
      </c>
      <c r="AQ44" s="44">
        <v>2.74</v>
      </c>
      <c r="AR44" s="44" t="s">
        <v>98</v>
      </c>
      <c r="AS44" s="44"/>
      <c r="AT44" s="44"/>
      <c r="AU44" s="44">
        <v>10069</v>
      </c>
      <c r="AV44" s="44">
        <v>8660</v>
      </c>
      <c r="AW44" s="44">
        <v>1.06</v>
      </c>
      <c r="AX44" s="44">
        <v>7.98</v>
      </c>
      <c r="AY44" s="44">
        <v>3.32</v>
      </c>
      <c r="AZ44" s="44" t="s">
        <v>86</v>
      </c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>
        <v>69.42</v>
      </c>
      <c r="CR44" s="47">
        <v>70.59</v>
      </c>
      <c r="CS44" s="44">
        <v>20.286000000000001</v>
      </c>
      <c r="CT44" s="44"/>
    </row>
    <row r="45" spans="1:98" ht="15.75" customHeight="1">
      <c r="A45" s="43">
        <v>44</v>
      </c>
      <c r="B45" s="44">
        <v>731</v>
      </c>
      <c r="C45" s="44" t="s">
        <v>126</v>
      </c>
      <c r="D45" s="44">
        <v>5</v>
      </c>
      <c r="E45" s="44">
        <v>35860</v>
      </c>
      <c r="F45" s="44">
        <v>31200</v>
      </c>
      <c r="G45" s="44">
        <v>1.18</v>
      </c>
      <c r="H45" s="44">
        <v>7.95</v>
      </c>
      <c r="I45" s="44">
        <v>3.72</v>
      </c>
      <c r="J45" s="44">
        <v>21</v>
      </c>
      <c r="K45" s="44">
        <v>1</v>
      </c>
      <c r="L45" s="44">
        <v>4</v>
      </c>
      <c r="M45" s="44">
        <v>0</v>
      </c>
      <c r="N45" s="44" t="s">
        <v>97</v>
      </c>
      <c r="O45" s="44">
        <v>10106</v>
      </c>
      <c r="P45" s="44">
        <v>8380</v>
      </c>
      <c r="Q45" s="44">
        <v>1.0900000000000001</v>
      </c>
      <c r="R45" s="44">
        <v>7.91</v>
      </c>
      <c r="S45" s="44">
        <v>2.87</v>
      </c>
      <c r="T45" s="44" t="s">
        <v>98</v>
      </c>
      <c r="U45" s="44"/>
      <c r="V45" s="44"/>
      <c r="W45" s="44">
        <v>10112</v>
      </c>
      <c r="X45" s="44">
        <v>4080</v>
      </c>
      <c r="Y45" s="44">
        <v>1.06</v>
      </c>
      <c r="Z45" s="44">
        <v>8.0500000000000007</v>
      </c>
      <c r="AA45" s="44">
        <v>4.6500000000000004</v>
      </c>
      <c r="AB45" s="44" t="s">
        <v>98</v>
      </c>
      <c r="AC45" s="44"/>
      <c r="AD45" s="44"/>
      <c r="AE45" s="44">
        <v>10119</v>
      </c>
      <c r="AF45" s="44">
        <v>7180</v>
      </c>
      <c r="AG45" s="44">
        <v>1.1000000000000001</v>
      </c>
      <c r="AH45" s="44">
        <v>7.89</v>
      </c>
      <c r="AI45" s="44">
        <v>4.68</v>
      </c>
      <c r="AJ45" s="44" t="s">
        <v>98</v>
      </c>
      <c r="AK45" s="44"/>
      <c r="AL45" s="44"/>
      <c r="AM45" s="44">
        <v>10018</v>
      </c>
      <c r="AN45" s="44">
        <v>8460</v>
      </c>
      <c r="AO45" s="44">
        <v>1.44</v>
      </c>
      <c r="AP45" s="44">
        <v>8.06</v>
      </c>
      <c r="AQ45" s="44">
        <v>3.51</v>
      </c>
      <c r="AR45" s="44" t="s">
        <v>86</v>
      </c>
      <c r="AS45" s="44"/>
      <c r="AT45" s="44"/>
      <c r="AU45" s="44">
        <v>10109</v>
      </c>
      <c r="AV45" s="44">
        <v>7760</v>
      </c>
      <c r="AW45" s="44">
        <v>1.17</v>
      </c>
      <c r="AX45" s="44">
        <v>7.86</v>
      </c>
      <c r="AY45" s="44">
        <v>3.53</v>
      </c>
      <c r="AZ45" s="44" t="s">
        <v>98</v>
      </c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>
        <v>70</v>
      </c>
      <c r="CR45" s="47">
        <v>71.180000000000007</v>
      </c>
      <c r="CS45" s="44">
        <v>20.46</v>
      </c>
      <c r="CT45" s="44"/>
    </row>
    <row r="46" spans="1:98" ht="15.75" customHeight="1">
      <c r="A46" s="43">
        <v>45</v>
      </c>
      <c r="B46" s="44">
        <v>733</v>
      </c>
      <c r="C46" s="44" t="s">
        <v>127</v>
      </c>
      <c r="D46" s="44">
        <v>6</v>
      </c>
      <c r="E46" s="44">
        <v>36440</v>
      </c>
      <c r="F46" s="44">
        <v>31000</v>
      </c>
      <c r="G46" s="44">
        <v>1.32</v>
      </c>
      <c r="H46" s="44">
        <v>7.83</v>
      </c>
      <c r="I46" s="44">
        <v>3.51</v>
      </c>
      <c r="J46" s="44">
        <v>20</v>
      </c>
      <c r="K46" s="44">
        <v>3</v>
      </c>
      <c r="L46" s="44">
        <v>3</v>
      </c>
      <c r="M46" s="44">
        <v>0</v>
      </c>
      <c r="N46" s="44" t="s">
        <v>99</v>
      </c>
      <c r="O46" s="44">
        <v>9768</v>
      </c>
      <c r="P46" s="44">
        <v>7340</v>
      </c>
      <c r="Q46" s="44">
        <v>1.52</v>
      </c>
      <c r="R46" s="44">
        <v>7.43</v>
      </c>
      <c r="S46" s="44">
        <v>3.45</v>
      </c>
      <c r="T46" s="44" t="s">
        <v>86</v>
      </c>
      <c r="U46" s="44"/>
      <c r="V46" s="44"/>
      <c r="W46" s="44">
        <v>10136</v>
      </c>
      <c r="X46" s="44">
        <v>8900</v>
      </c>
      <c r="Y46" s="44">
        <v>1.07</v>
      </c>
      <c r="Z46" s="44">
        <v>8.02</v>
      </c>
      <c r="AA46" s="44">
        <v>2.68</v>
      </c>
      <c r="AB46" s="44" t="s">
        <v>98</v>
      </c>
      <c r="AC46" s="44"/>
      <c r="AD46" s="44"/>
      <c r="AE46" s="44">
        <v>9522</v>
      </c>
      <c r="AF46" s="44">
        <v>6760</v>
      </c>
      <c r="AG46" s="44">
        <v>1.39</v>
      </c>
      <c r="AH46" s="44">
        <v>7.76</v>
      </c>
      <c r="AI46" s="44">
        <v>3.79</v>
      </c>
      <c r="AJ46" s="44" t="s">
        <v>86</v>
      </c>
      <c r="AK46" s="44"/>
      <c r="AL46" s="44"/>
      <c r="AM46" s="44">
        <v>10122</v>
      </c>
      <c r="AN46" s="44">
        <v>5880</v>
      </c>
      <c r="AO46" s="44">
        <v>1.66</v>
      </c>
      <c r="AP46" s="44">
        <v>7.88</v>
      </c>
      <c r="AQ46" s="44">
        <v>4.07</v>
      </c>
      <c r="AR46" s="44" t="s">
        <v>86</v>
      </c>
      <c r="AS46" s="44"/>
      <c r="AT46" s="44"/>
      <c r="AU46" s="44">
        <v>10118</v>
      </c>
      <c r="AV46" s="44">
        <v>2820</v>
      </c>
      <c r="AW46" s="44">
        <v>1.19</v>
      </c>
      <c r="AX46" s="44">
        <v>7.91</v>
      </c>
      <c r="AY46" s="44">
        <v>4.51</v>
      </c>
      <c r="AZ46" s="44" t="s">
        <v>98</v>
      </c>
      <c r="BA46" s="44"/>
      <c r="BB46" s="44"/>
      <c r="BC46" s="44">
        <v>10141</v>
      </c>
      <c r="BD46" s="44">
        <v>4740</v>
      </c>
      <c r="BE46" s="44">
        <v>1.1100000000000001</v>
      </c>
      <c r="BF46" s="44">
        <v>7.99</v>
      </c>
      <c r="BG46" s="44">
        <v>3.42</v>
      </c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>
        <v>68.19</v>
      </c>
      <c r="CR46" s="47">
        <v>69.510000000000005</v>
      </c>
      <c r="CS46" s="44">
        <v>20.061</v>
      </c>
      <c r="CT46" s="44"/>
    </row>
    <row r="47" spans="1:98" ht="15.75" customHeight="1">
      <c r="A47" s="43">
        <v>46</v>
      </c>
      <c r="B47" s="44">
        <v>738</v>
      </c>
      <c r="C47" s="44" t="s">
        <v>128</v>
      </c>
      <c r="D47" s="44">
        <v>5</v>
      </c>
      <c r="E47" s="44">
        <v>36200</v>
      </c>
      <c r="F47" s="44">
        <v>31200</v>
      </c>
      <c r="G47" s="44">
        <v>1.23</v>
      </c>
      <c r="H47" s="44">
        <v>7.92</v>
      </c>
      <c r="I47" s="44">
        <v>3.94</v>
      </c>
      <c r="J47" s="44">
        <v>21</v>
      </c>
      <c r="K47" s="44">
        <v>3</v>
      </c>
      <c r="L47" s="44">
        <v>2</v>
      </c>
      <c r="M47" s="44">
        <v>0</v>
      </c>
      <c r="N47" s="44" t="s">
        <v>99</v>
      </c>
      <c r="O47" s="44">
        <v>9828</v>
      </c>
      <c r="P47" s="44">
        <v>6180</v>
      </c>
      <c r="Q47" s="44">
        <v>1.4</v>
      </c>
      <c r="R47" s="44">
        <v>7.78</v>
      </c>
      <c r="S47" s="44">
        <v>3.76</v>
      </c>
      <c r="T47" s="44" t="s">
        <v>86</v>
      </c>
      <c r="U47" s="44"/>
      <c r="V47" s="44"/>
      <c r="W47" s="44">
        <v>10138</v>
      </c>
      <c r="X47" s="44">
        <v>3580</v>
      </c>
      <c r="Y47" s="44">
        <v>1.08</v>
      </c>
      <c r="Z47" s="44">
        <v>7.98</v>
      </c>
      <c r="AA47" s="44">
        <v>3.87</v>
      </c>
      <c r="AB47" s="44" t="s">
        <v>98</v>
      </c>
      <c r="AC47" s="44"/>
      <c r="AD47" s="44"/>
      <c r="AE47" s="44">
        <v>10107</v>
      </c>
      <c r="AF47" s="44">
        <v>5900</v>
      </c>
      <c r="AG47" s="44">
        <v>1.07</v>
      </c>
      <c r="AH47" s="44">
        <v>8.0299999999999994</v>
      </c>
      <c r="AI47" s="44">
        <v>3.31</v>
      </c>
      <c r="AJ47" s="44" t="s">
        <v>98</v>
      </c>
      <c r="AK47" s="44"/>
      <c r="AL47" s="44"/>
      <c r="AM47" s="44">
        <v>10189</v>
      </c>
      <c r="AN47" s="44">
        <v>10820</v>
      </c>
      <c r="AO47" s="44">
        <v>1.2</v>
      </c>
      <c r="AP47" s="44">
        <v>8.1199999999999992</v>
      </c>
      <c r="AQ47" s="44">
        <v>4.93</v>
      </c>
      <c r="AR47" s="44" t="s">
        <v>86</v>
      </c>
      <c r="AS47" s="44"/>
      <c r="AT47" s="44"/>
      <c r="AU47" s="44">
        <v>10155</v>
      </c>
      <c r="AV47" s="44">
        <v>9720</v>
      </c>
      <c r="AW47" s="44">
        <v>1.32</v>
      </c>
      <c r="AX47" s="44">
        <v>7.79</v>
      </c>
      <c r="AY47" s="44">
        <v>3.44</v>
      </c>
      <c r="AZ47" s="44" t="s">
        <v>86</v>
      </c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>
        <v>72.06</v>
      </c>
      <c r="CR47" s="47">
        <v>73.290000000000006</v>
      </c>
      <c r="CS47" s="44">
        <v>21.114000000000001</v>
      </c>
      <c r="CT47" s="44"/>
    </row>
    <row r="48" spans="1:98" ht="15.75" customHeight="1">
      <c r="A48" s="43">
        <v>47</v>
      </c>
      <c r="B48" s="44">
        <v>740</v>
      </c>
      <c r="C48" s="44" t="s">
        <v>129</v>
      </c>
      <c r="D48" s="44">
        <v>6</v>
      </c>
      <c r="E48" s="44">
        <v>44420</v>
      </c>
      <c r="F48" s="44">
        <v>41300</v>
      </c>
      <c r="G48" s="44">
        <v>1.2</v>
      </c>
      <c r="H48" s="44">
        <v>7.89</v>
      </c>
      <c r="I48" s="44">
        <v>4.21</v>
      </c>
      <c r="J48" s="44">
        <v>22</v>
      </c>
      <c r="K48" s="44">
        <v>3</v>
      </c>
      <c r="L48" s="44">
        <v>2</v>
      </c>
      <c r="M48" s="44">
        <v>1</v>
      </c>
      <c r="N48" s="44" t="s">
        <v>99</v>
      </c>
      <c r="O48" s="44">
        <v>10261</v>
      </c>
      <c r="P48" s="44">
        <v>7380</v>
      </c>
      <c r="Q48" s="44">
        <v>1.17</v>
      </c>
      <c r="R48" s="44">
        <v>7.99</v>
      </c>
      <c r="S48" s="44">
        <v>3.63</v>
      </c>
      <c r="T48" s="44" t="s">
        <v>86</v>
      </c>
      <c r="U48" s="44"/>
      <c r="V48" s="44"/>
      <c r="W48" s="44">
        <v>10256</v>
      </c>
      <c r="X48" s="44">
        <v>7000</v>
      </c>
      <c r="Y48" s="44">
        <v>1.21</v>
      </c>
      <c r="Z48" s="44">
        <v>7.82</v>
      </c>
      <c r="AA48" s="44">
        <v>4.8600000000000003</v>
      </c>
      <c r="AB48" s="44" t="s">
        <v>106</v>
      </c>
      <c r="AC48" s="44"/>
      <c r="AD48" s="44"/>
      <c r="AE48" s="44">
        <v>10215</v>
      </c>
      <c r="AF48" s="44">
        <v>8540</v>
      </c>
      <c r="AG48" s="44">
        <v>1.1299999999999999</v>
      </c>
      <c r="AH48" s="44">
        <v>7.86</v>
      </c>
      <c r="AI48" s="44">
        <v>2.85</v>
      </c>
      <c r="AJ48" s="44" t="s">
        <v>98</v>
      </c>
      <c r="AK48" s="44"/>
      <c r="AL48" s="44"/>
      <c r="AM48" s="44">
        <v>10231</v>
      </c>
      <c r="AN48" s="44">
        <v>9840</v>
      </c>
      <c r="AO48" s="44">
        <v>1.19</v>
      </c>
      <c r="AP48" s="44">
        <v>7.83</v>
      </c>
      <c r="AQ48" s="44">
        <v>5.49</v>
      </c>
      <c r="AR48" s="44" t="s">
        <v>98</v>
      </c>
      <c r="AS48" s="44"/>
      <c r="AT48" s="44"/>
      <c r="AU48" s="44">
        <v>10248</v>
      </c>
      <c r="AV48" s="44">
        <v>7260</v>
      </c>
      <c r="AW48" s="44">
        <v>1.29</v>
      </c>
      <c r="AX48" s="44">
        <v>8.0500000000000007</v>
      </c>
      <c r="AY48" s="44">
        <v>3.57</v>
      </c>
      <c r="AZ48" s="44" t="s">
        <v>86</v>
      </c>
      <c r="BA48" s="44"/>
      <c r="BB48" s="44"/>
      <c r="BC48" s="44">
        <v>10171</v>
      </c>
      <c r="BD48" s="44">
        <v>4400</v>
      </c>
      <c r="BE48" s="44">
        <v>1.26</v>
      </c>
      <c r="BF48" s="44">
        <v>7.78</v>
      </c>
      <c r="BG48" s="44">
        <v>3.19</v>
      </c>
      <c r="BH48" s="44" t="s">
        <v>86</v>
      </c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>
        <v>74.25</v>
      </c>
      <c r="CR48" s="47">
        <v>75.45</v>
      </c>
      <c r="CS48" s="44">
        <v>21.806999999999999</v>
      </c>
      <c r="CT48" s="44"/>
    </row>
    <row r="49" spans="1:98" ht="15.75" customHeight="1">
      <c r="A49" s="43">
        <v>48</v>
      </c>
      <c r="B49" s="44">
        <v>741</v>
      </c>
      <c r="C49" s="44" t="s">
        <v>130</v>
      </c>
      <c r="D49" s="44">
        <v>7</v>
      </c>
      <c r="E49" s="44">
        <v>52560</v>
      </c>
      <c r="F49" s="44">
        <v>46800</v>
      </c>
      <c r="G49" s="44">
        <v>1.1200000000000001</v>
      </c>
      <c r="H49" s="44">
        <v>7.89</v>
      </c>
      <c r="I49" s="44">
        <v>3.31</v>
      </c>
      <c r="J49" s="44">
        <v>19</v>
      </c>
      <c r="K49" s="44">
        <v>2</v>
      </c>
      <c r="L49" s="44">
        <v>4</v>
      </c>
      <c r="M49" s="44">
        <v>1</v>
      </c>
      <c r="N49" s="44" t="s">
        <v>111</v>
      </c>
      <c r="O49" s="44">
        <v>10229</v>
      </c>
      <c r="P49" s="44">
        <v>4840</v>
      </c>
      <c r="Q49" s="44">
        <v>1.19</v>
      </c>
      <c r="R49" s="44">
        <v>7.71</v>
      </c>
      <c r="S49" s="44">
        <v>2.16</v>
      </c>
      <c r="T49" s="44" t="s">
        <v>98</v>
      </c>
      <c r="U49" s="44"/>
      <c r="V49" s="44"/>
      <c r="W49" s="44">
        <v>10252</v>
      </c>
      <c r="X49" s="44">
        <v>6160</v>
      </c>
      <c r="Y49" s="44">
        <v>1.06</v>
      </c>
      <c r="Z49" s="44">
        <v>7.96</v>
      </c>
      <c r="AA49" s="44">
        <v>3.09</v>
      </c>
      <c r="AB49" s="44" t="s">
        <v>98</v>
      </c>
      <c r="AC49" s="44"/>
      <c r="AD49" s="44"/>
      <c r="AE49" s="44">
        <v>10258</v>
      </c>
      <c r="AF49" s="44">
        <v>8100</v>
      </c>
      <c r="AG49" s="44">
        <v>1.08</v>
      </c>
      <c r="AH49" s="44">
        <v>7.95</v>
      </c>
      <c r="AI49" s="44">
        <v>2.9</v>
      </c>
      <c r="AJ49" s="44" t="s">
        <v>106</v>
      </c>
      <c r="AK49" s="44"/>
      <c r="AL49" s="44"/>
      <c r="AM49" s="44">
        <v>10236</v>
      </c>
      <c r="AN49" s="44">
        <v>9340</v>
      </c>
      <c r="AO49" s="44">
        <v>0.99</v>
      </c>
      <c r="AP49" s="44">
        <v>7.88</v>
      </c>
      <c r="AQ49" s="44">
        <v>3.36</v>
      </c>
      <c r="AR49" s="44" t="s">
        <v>98</v>
      </c>
      <c r="AS49" s="44"/>
      <c r="AT49" s="44"/>
      <c r="AU49" s="44">
        <v>10275</v>
      </c>
      <c r="AV49" s="44">
        <v>6900</v>
      </c>
      <c r="AW49" s="44">
        <v>1.06</v>
      </c>
      <c r="AX49" s="44">
        <v>7.83</v>
      </c>
      <c r="AY49" s="44">
        <v>3.68</v>
      </c>
      <c r="AZ49" s="44" t="s">
        <v>98</v>
      </c>
      <c r="BA49" s="44"/>
      <c r="BB49" s="44"/>
      <c r="BC49" s="44">
        <v>10221</v>
      </c>
      <c r="BD49" s="44">
        <v>9060</v>
      </c>
      <c r="BE49" s="44">
        <v>1.0900000000000001</v>
      </c>
      <c r="BF49" s="44">
        <v>8.0399999999999991</v>
      </c>
      <c r="BG49" s="44">
        <v>3.32</v>
      </c>
      <c r="BH49" s="44" t="s">
        <v>86</v>
      </c>
      <c r="BI49" s="44"/>
      <c r="BJ49" s="44"/>
      <c r="BK49" s="44">
        <v>10263</v>
      </c>
      <c r="BL49" s="44">
        <v>8160</v>
      </c>
      <c r="BM49" s="44">
        <v>1.43</v>
      </c>
      <c r="BN49" s="44">
        <v>7.74</v>
      </c>
      <c r="BO49" s="44">
        <v>3.88</v>
      </c>
      <c r="BP49" s="44" t="s">
        <v>86</v>
      </c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>
        <v>65.83</v>
      </c>
      <c r="CR49" s="47">
        <v>66.95</v>
      </c>
      <c r="CS49" s="44">
        <v>19.280999999999999</v>
      </c>
      <c r="CT49" s="44"/>
    </row>
    <row r="50" spans="1:98" ht="15.75" customHeight="1">
      <c r="A50" s="43">
        <v>49</v>
      </c>
      <c r="B50" s="44">
        <v>742</v>
      </c>
      <c r="C50" s="45">
        <v>45357</v>
      </c>
      <c r="D50" s="44">
        <v>6</v>
      </c>
      <c r="E50" s="44">
        <v>43900</v>
      </c>
      <c r="F50" s="44">
        <v>38700</v>
      </c>
      <c r="G50" s="44">
        <v>1.1399999999999999</v>
      </c>
      <c r="H50" s="44">
        <v>7.9</v>
      </c>
      <c r="I50" s="44">
        <v>3.91</v>
      </c>
      <c r="J50" s="44">
        <v>21</v>
      </c>
      <c r="K50" s="44">
        <v>3</v>
      </c>
      <c r="L50" s="44">
        <v>3</v>
      </c>
      <c r="M50" s="44">
        <v>0</v>
      </c>
      <c r="N50" s="44" t="s">
        <v>97</v>
      </c>
      <c r="O50" s="44">
        <v>10170</v>
      </c>
      <c r="P50" s="44">
        <v>8320</v>
      </c>
      <c r="Q50" s="44">
        <v>1.21</v>
      </c>
      <c r="R50" s="44">
        <v>7.87</v>
      </c>
      <c r="S50" s="44">
        <v>3.08</v>
      </c>
      <c r="T50" s="44" t="s">
        <v>86</v>
      </c>
      <c r="U50" s="44"/>
      <c r="V50" s="44"/>
      <c r="W50" s="44">
        <v>10262</v>
      </c>
      <c r="X50" s="44">
        <v>7400</v>
      </c>
      <c r="Y50" s="44">
        <v>1.08</v>
      </c>
      <c r="Z50" s="44">
        <v>8.0500000000000007</v>
      </c>
      <c r="AA50" s="44">
        <v>3.37</v>
      </c>
      <c r="AB50" s="44" t="s">
        <v>86</v>
      </c>
      <c r="AC50" s="44"/>
      <c r="AD50" s="44"/>
      <c r="AE50" s="44">
        <v>10220</v>
      </c>
      <c r="AF50" s="44">
        <v>5400</v>
      </c>
      <c r="AG50" s="44">
        <v>1.27</v>
      </c>
      <c r="AH50" s="44">
        <v>8.15</v>
      </c>
      <c r="AI50" s="44">
        <v>2.99</v>
      </c>
      <c r="AJ50" s="44" t="s">
        <v>86</v>
      </c>
      <c r="AK50" s="44"/>
      <c r="AL50" s="44"/>
      <c r="AM50" s="44">
        <v>10211</v>
      </c>
      <c r="AN50" s="44">
        <v>5020</v>
      </c>
      <c r="AO50" s="44">
        <v>1.04</v>
      </c>
      <c r="AP50" s="44">
        <v>7.93</v>
      </c>
      <c r="AQ50" s="44">
        <v>3.11</v>
      </c>
      <c r="AR50" s="44" t="s">
        <v>98</v>
      </c>
      <c r="AS50" s="44"/>
      <c r="AT50" s="44"/>
      <c r="AU50" s="44">
        <v>10199</v>
      </c>
      <c r="AV50" s="44">
        <v>7620</v>
      </c>
      <c r="AW50" s="44">
        <v>1.25</v>
      </c>
      <c r="AX50" s="44">
        <v>7.64</v>
      </c>
      <c r="AY50" s="44">
        <v>4.42</v>
      </c>
      <c r="AZ50" s="44" t="s">
        <v>98</v>
      </c>
      <c r="BA50" s="44"/>
      <c r="BB50" s="44"/>
      <c r="BC50" s="44">
        <v>10230</v>
      </c>
      <c r="BD50" s="44">
        <v>10140</v>
      </c>
      <c r="BE50" s="44">
        <v>1.04</v>
      </c>
      <c r="BF50" s="44">
        <v>7.86</v>
      </c>
      <c r="BG50" s="44">
        <v>5.48</v>
      </c>
      <c r="BH50" s="44" t="s">
        <v>98</v>
      </c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>
        <v>71.349999999999994</v>
      </c>
      <c r="CR50" s="47">
        <v>72.489999999999995</v>
      </c>
      <c r="CS50" s="44">
        <v>20.925000000000001</v>
      </c>
      <c r="CT50" s="44"/>
    </row>
    <row r="51" spans="1:98" ht="15.75" customHeight="1">
      <c r="A51" s="43">
        <v>50</v>
      </c>
      <c r="B51" s="44">
        <v>745</v>
      </c>
      <c r="C51" s="45">
        <v>45449</v>
      </c>
      <c r="D51" s="44">
        <v>5</v>
      </c>
      <c r="E51" s="44">
        <v>36120</v>
      </c>
      <c r="F51" s="44">
        <v>31200</v>
      </c>
      <c r="G51" s="44">
        <v>1.25</v>
      </c>
      <c r="H51" s="44">
        <v>7.8</v>
      </c>
      <c r="I51" s="44">
        <v>3.24</v>
      </c>
      <c r="J51" s="44">
        <v>19</v>
      </c>
      <c r="K51" s="44">
        <v>1</v>
      </c>
      <c r="L51" s="44">
        <v>4</v>
      </c>
      <c r="M51" s="44">
        <v>0</v>
      </c>
      <c r="N51" s="44" t="s">
        <v>111</v>
      </c>
      <c r="O51" s="44">
        <v>10301</v>
      </c>
      <c r="P51" s="44">
        <v>6220</v>
      </c>
      <c r="Q51" s="44">
        <v>1.0900000000000001</v>
      </c>
      <c r="R51" s="44">
        <v>7.72</v>
      </c>
      <c r="S51" s="44">
        <v>2.96</v>
      </c>
      <c r="T51" s="44" t="s">
        <v>98</v>
      </c>
      <c r="U51" s="44"/>
      <c r="V51" s="44"/>
      <c r="W51" s="44">
        <v>10307</v>
      </c>
      <c r="X51" s="44">
        <v>8000</v>
      </c>
      <c r="Y51" s="44">
        <v>1.17</v>
      </c>
      <c r="Z51" s="44">
        <v>7.96</v>
      </c>
      <c r="AA51" s="44">
        <v>3.44</v>
      </c>
      <c r="AB51" s="44" t="s">
        <v>98</v>
      </c>
      <c r="AC51" s="44"/>
      <c r="AD51" s="44"/>
      <c r="AE51" s="44">
        <v>10153</v>
      </c>
      <c r="AF51" s="44">
        <v>7920</v>
      </c>
      <c r="AG51" s="44">
        <v>1.85</v>
      </c>
      <c r="AH51" s="44">
        <v>7.65</v>
      </c>
      <c r="AI51" s="44">
        <v>3.78</v>
      </c>
      <c r="AJ51" s="44" t="s">
        <v>86</v>
      </c>
      <c r="AK51" s="44"/>
      <c r="AL51" s="44"/>
      <c r="AM51" s="44">
        <v>10300</v>
      </c>
      <c r="AN51" s="44">
        <v>7500</v>
      </c>
      <c r="AO51" s="44">
        <v>1.1399999999999999</v>
      </c>
      <c r="AP51" s="44">
        <v>7.7</v>
      </c>
      <c r="AQ51" s="44">
        <v>2.8</v>
      </c>
      <c r="AR51" s="44" t="s">
        <v>98</v>
      </c>
      <c r="AS51" s="44"/>
      <c r="AT51" s="44"/>
      <c r="AU51" s="44">
        <v>10234</v>
      </c>
      <c r="AV51" s="44">
        <v>6480</v>
      </c>
      <c r="AW51" s="44">
        <v>0.97</v>
      </c>
      <c r="AX51" s="44">
        <v>7.99</v>
      </c>
      <c r="AY51" s="44">
        <v>3.08</v>
      </c>
      <c r="AZ51" s="44" t="s">
        <v>98</v>
      </c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>
        <v>65.36</v>
      </c>
      <c r="CR51" s="47">
        <v>66.61</v>
      </c>
      <c r="CS51" s="44">
        <v>19.248000000000001</v>
      </c>
      <c r="CT51" s="44"/>
    </row>
    <row r="52" spans="1:98" ht="15.75" customHeight="1">
      <c r="A52" s="43">
        <v>51</v>
      </c>
      <c r="B52" s="44">
        <v>746</v>
      </c>
      <c r="C52" s="45">
        <v>45479</v>
      </c>
      <c r="D52" s="44">
        <v>6</v>
      </c>
      <c r="E52" s="44">
        <v>44330</v>
      </c>
      <c r="F52" s="44">
        <v>39000</v>
      </c>
      <c r="G52" s="44">
        <v>1.19</v>
      </c>
      <c r="H52" s="44">
        <v>7.87</v>
      </c>
      <c r="I52" s="44">
        <v>3.23</v>
      </c>
      <c r="J52" s="44">
        <v>19</v>
      </c>
      <c r="K52" s="44">
        <v>3</v>
      </c>
      <c r="L52" s="44">
        <v>3</v>
      </c>
      <c r="M52" s="44">
        <v>0</v>
      </c>
      <c r="N52" s="44" t="s">
        <v>111</v>
      </c>
      <c r="O52" s="44">
        <v>10305</v>
      </c>
      <c r="P52" s="44">
        <v>8060</v>
      </c>
      <c r="Q52" s="44">
        <v>1.37</v>
      </c>
      <c r="R52" s="44">
        <v>7.81</v>
      </c>
      <c r="S52" s="44">
        <v>3.51</v>
      </c>
      <c r="T52" s="44" t="s">
        <v>86</v>
      </c>
      <c r="U52" s="44"/>
      <c r="V52" s="44"/>
      <c r="W52" s="44">
        <v>10210</v>
      </c>
      <c r="X52" s="44">
        <v>6580</v>
      </c>
      <c r="Y52" s="44">
        <v>1.04</v>
      </c>
      <c r="Z52" s="44">
        <v>7.93</v>
      </c>
      <c r="AA52" s="44">
        <v>2.98</v>
      </c>
      <c r="AB52" s="44" t="s">
        <v>98</v>
      </c>
      <c r="AC52" s="44"/>
      <c r="AD52" s="44"/>
      <c r="AE52" s="44">
        <v>10316</v>
      </c>
      <c r="AF52" s="44">
        <v>11210</v>
      </c>
      <c r="AG52" s="44">
        <v>1.01</v>
      </c>
      <c r="AH52" s="44">
        <v>8.02</v>
      </c>
      <c r="AI52" s="44">
        <v>3.41</v>
      </c>
      <c r="AJ52" s="44" t="s">
        <v>98</v>
      </c>
      <c r="AK52" s="44"/>
      <c r="AL52" s="44"/>
      <c r="AM52" s="44">
        <v>10293</v>
      </c>
      <c r="AN52" s="44">
        <v>7320</v>
      </c>
      <c r="AO52" s="44">
        <v>1.21</v>
      </c>
      <c r="AP52" s="44">
        <v>7.95</v>
      </c>
      <c r="AQ52" s="44">
        <v>3</v>
      </c>
      <c r="AR52" s="44" t="s">
        <v>86</v>
      </c>
      <c r="AS52" s="44"/>
      <c r="AT52" s="44"/>
      <c r="AU52" s="44">
        <v>10298</v>
      </c>
      <c r="AV52" s="44">
        <v>6360</v>
      </c>
      <c r="AW52" s="44">
        <v>1.02</v>
      </c>
      <c r="AX52" s="44">
        <v>7.84</v>
      </c>
      <c r="AY52" s="44">
        <v>2.73</v>
      </c>
      <c r="AZ52" s="44" t="s">
        <v>98</v>
      </c>
      <c r="BA52" s="44"/>
      <c r="BB52" s="44"/>
      <c r="BC52" s="44">
        <v>10322</v>
      </c>
      <c r="BD52" s="44">
        <v>4800</v>
      </c>
      <c r="BE52" s="44">
        <v>1.84</v>
      </c>
      <c r="BF52" s="44">
        <v>7.48</v>
      </c>
      <c r="BG52" s="44">
        <v>3.26</v>
      </c>
      <c r="BH52" s="44" t="s">
        <v>86</v>
      </c>
      <c r="BI52" s="44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</row>
    <row r="53" spans="1:98" ht="15.75" customHeight="1">
      <c r="A53" s="43">
        <v>52</v>
      </c>
      <c r="B53" s="44">
        <v>748</v>
      </c>
      <c r="C53" s="45">
        <v>45602</v>
      </c>
      <c r="D53" s="44">
        <v>6</v>
      </c>
      <c r="E53" s="44">
        <v>44520</v>
      </c>
      <c r="F53" s="44">
        <v>39000</v>
      </c>
      <c r="G53" s="44">
        <v>1.1399999999999999</v>
      </c>
      <c r="H53" s="44">
        <v>7.94</v>
      </c>
      <c r="I53" s="44">
        <v>3.25</v>
      </c>
      <c r="J53" s="44">
        <v>19</v>
      </c>
      <c r="K53" s="44">
        <v>4</v>
      </c>
      <c r="L53" s="44">
        <v>2</v>
      </c>
      <c r="M53" s="44">
        <v>0</v>
      </c>
      <c r="N53" s="44" t="s">
        <v>111</v>
      </c>
      <c r="O53" s="44">
        <v>10359</v>
      </c>
      <c r="P53" s="44">
        <v>6240</v>
      </c>
      <c r="Q53" s="44">
        <v>1.19</v>
      </c>
      <c r="R53" s="44">
        <v>7.97</v>
      </c>
      <c r="S53" s="44">
        <v>3.07</v>
      </c>
      <c r="T53" s="44" t="s">
        <v>86</v>
      </c>
      <c r="U53" s="44"/>
      <c r="V53" s="44"/>
      <c r="W53" s="44">
        <v>10318</v>
      </c>
      <c r="X53" s="44">
        <v>8720</v>
      </c>
      <c r="Y53" s="44">
        <v>0.99</v>
      </c>
      <c r="Z53" s="44">
        <v>7.98</v>
      </c>
      <c r="AA53" s="44">
        <v>3.65</v>
      </c>
      <c r="AB53" s="44" t="s">
        <v>86</v>
      </c>
      <c r="AC53" s="44"/>
      <c r="AD53" s="44"/>
      <c r="AE53" s="44">
        <v>10292</v>
      </c>
      <c r="AF53" s="44">
        <v>7500</v>
      </c>
      <c r="AG53" s="44">
        <v>1.36</v>
      </c>
      <c r="AH53" s="44">
        <v>7.91</v>
      </c>
      <c r="AI53" s="44">
        <v>2.83</v>
      </c>
      <c r="AJ53" s="44" t="s">
        <v>86</v>
      </c>
      <c r="AK53" s="44"/>
      <c r="AL53" s="44"/>
      <c r="AM53" s="44">
        <v>10297</v>
      </c>
      <c r="AN53" s="44">
        <v>6260</v>
      </c>
      <c r="AO53" s="44">
        <v>1.1000000000000001</v>
      </c>
      <c r="AP53" s="44">
        <v>7.78</v>
      </c>
      <c r="AQ53" s="44">
        <v>2.5099999999999998</v>
      </c>
      <c r="AR53" s="44" t="s">
        <v>98</v>
      </c>
      <c r="AS53" s="44"/>
      <c r="AT53" s="44"/>
      <c r="AU53" s="44">
        <v>10321</v>
      </c>
      <c r="AV53" s="44">
        <v>7000</v>
      </c>
      <c r="AW53" s="44">
        <v>1.36</v>
      </c>
      <c r="AX53" s="44">
        <v>8</v>
      </c>
      <c r="AY53" s="44">
        <v>3.69</v>
      </c>
      <c r="AZ53" s="44" t="s">
        <v>86</v>
      </c>
      <c r="BA53" s="44"/>
      <c r="BB53" s="44"/>
      <c r="BC53" s="44">
        <v>10235</v>
      </c>
      <c r="BD53" s="44">
        <v>8800</v>
      </c>
      <c r="BE53" s="44">
        <v>1</v>
      </c>
      <c r="BF53" s="44">
        <v>7.97</v>
      </c>
      <c r="BG53" s="44">
        <v>3.32</v>
      </c>
      <c r="BH53" s="44" t="s">
        <v>86</v>
      </c>
      <c r="BI53" s="44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</row>
    <row r="54" spans="1:98" ht="15.75" customHeight="1">
      <c r="A54" s="43">
        <v>53</v>
      </c>
      <c r="B54" s="44">
        <v>749</v>
      </c>
      <c r="C54" s="45">
        <v>45632</v>
      </c>
      <c r="D54" s="44">
        <v>5</v>
      </c>
      <c r="E54" s="44">
        <v>44740</v>
      </c>
      <c r="F54" s="44">
        <v>39000</v>
      </c>
      <c r="G54" s="44">
        <v>1.1599999999999999</v>
      </c>
      <c r="H54" s="44">
        <v>7.84</v>
      </c>
      <c r="I54" s="44">
        <v>3.9</v>
      </c>
      <c r="J54" s="44">
        <v>21</v>
      </c>
      <c r="K54" s="44">
        <v>3</v>
      </c>
      <c r="L54" s="44">
        <v>2</v>
      </c>
      <c r="M54" s="44">
        <v>0</v>
      </c>
      <c r="N54" s="44" t="s">
        <v>97</v>
      </c>
      <c r="O54" s="44">
        <v>10308</v>
      </c>
      <c r="P54" s="44">
        <v>8480</v>
      </c>
      <c r="Q54" s="44">
        <v>1.1299999999999999</v>
      </c>
      <c r="R54" s="44">
        <v>7.88</v>
      </c>
      <c r="S54" s="44">
        <v>2.94</v>
      </c>
      <c r="T54" s="1" t="s">
        <v>98</v>
      </c>
      <c r="U54" s="44"/>
      <c r="V54" s="44"/>
      <c r="W54" s="44">
        <v>10345</v>
      </c>
      <c r="X54" s="44">
        <v>10440</v>
      </c>
      <c r="Y54" s="44">
        <v>1.24</v>
      </c>
      <c r="Z54" s="44">
        <v>7.68</v>
      </c>
      <c r="AA54" s="44">
        <v>4.4000000000000004</v>
      </c>
      <c r="AB54" s="44" t="s">
        <v>86</v>
      </c>
      <c r="AC54" s="44"/>
      <c r="AD54" s="44"/>
      <c r="AE54" s="44">
        <v>10186</v>
      </c>
      <c r="AF54" s="44">
        <v>9500</v>
      </c>
      <c r="AG54" s="44">
        <v>1.22</v>
      </c>
      <c r="AH54" s="44">
        <v>7.77</v>
      </c>
      <c r="AI54" s="44">
        <v>3.56</v>
      </c>
      <c r="AJ54" s="44" t="s">
        <v>86</v>
      </c>
      <c r="AK54" s="44"/>
      <c r="AL54" s="44"/>
      <c r="AM54" s="44">
        <v>10317</v>
      </c>
      <c r="AN54" s="44">
        <v>9420</v>
      </c>
      <c r="AO54" s="44">
        <v>1.08</v>
      </c>
      <c r="AP54" s="44">
        <v>8.02</v>
      </c>
      <c r="AQ54" s="44">
        <v>3.7</v>
      </c>
      <c r="AR54" s="44" t="s">
        <v>86</v>
      </c>
      <c r="AS54" s="44"/>
      <c r="AT54" s="44"/>
      <c r="AU54" s="44">
        <v>10302</v>
      </c>
      <c r="AV54" s="44">
        <v>6900</v>
      </c>
      <c r="AW54" s="44">
        <v>1.1100000000000001</v>
      </c>
      <c r="AX54" s="44">
        <v>7.93</v>
      </c>
      <c r="AY54" s="44">
        <v>5.01</v>
      </c>
      <c r="AZ54" s="44" t="s">
        <v>98</v>
      </c>
      <c r="BA54" s="44"/>
      <c r="BB54" s="44"/>
      <c r="BC54" s="44"/>
      <c r="BD54" s="44"/>
      <c r="BE54" s="44"/>
      <c r="BF54" s="44"/>
      <c r="BG54" s="44"/>
      <c r="BH54" s="44"/>
      <c r="BI54" s="44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</row>
    <row r="55" spans="1:98" ht="15.75" customHeight="1">
      <c r="A55" s="43">
        <v>54</v>
      </c>
      <c r="B55" s="44">
        <v>750</v>
      </c>
      <c r="C55" s="44" t="s">
        <v>131</v>
      </c>
      <c r="D55" s="44">
        <v>5</v>
      </c>
      <c r="E55" s="44">
        <v>36550</v>
      </c>
      <c r="F55" s="44">
        <v>31200</v>
      </c>
      <c r="G55" s="44">
        <v>1.23</v>
      </c>
      <c r="H55" s="44">
        <v>7.87</v>
      </c>
      <c r="I55" s="44">
        <v>3.44</v>
      </c>
      <c r="J55" s="44">
        <v>20</v>
      </c>
      <c r="K55" s="44">
        <v>2</v>
      </c>
      <c r="L55" s="44">
        <v>3</v>
      </c>
      <c r="M55" s="44">
        <v>0</v>
      </c>
      <c r="N55" s="44" t="s">
        <v>99</v>
      </c>
      <c r="O55" s="44">
        <v>10351</v>
      </c>
      <c r="P55" s="44">
        <v>9220</v>
      </c>
      <c r="Q55" s="44">
        <v>1.22</v>
      </c>
      <c r="R55" s="44">
        <v>7.99</v>
      </c>
      <c r="S55" s="44">
        <v>4.07</v>
      </c>
      <c r="T55" s="1" t="s">
        <v>98</v>
      </c>
      <c r="U55" s="44"/>
      <c r="V55" s="44"/>
      <c r="W55" s="44">
        <v>10320</v>
      </c>
      <c r="X55" s="44">
        <v>2760</v>
      </c>
      <c r="Y55" s="44">
        <v>1.1299999999999999</v>
      </c>
      <c r="Z55" s="44">
        <v>7.82</v>
      </c>
      <c r="AA55" s="44">
        <v>4.79</v>
      </c>
      <c r="AB55" s="44" t="s">
        <v>98</v>
      </c>
      <c r="AC55" s="44"/>
      <c r="AD55" s="44"/>
      <c r="AE55" s="44">
        <v>10214</v>
      </c>
      <c r="AF55" s="44">
        <v>8900</v>
      </c>
      <c r="AG55" s="44">
        <v>1.0900000000000001</v>
      </c>
      <c r="AH55" s="44">
        <v>7.81</v>
      </c>
      <c r="AI55" s="44">
        <v>2.86</v>
      </c>
      <c r="AJ55" s="44" t="s">
        <v>98</v>
      </c>
      <c r="AK55" s="1"/>
      <c r="AL55" s="44"/>
      <c r="AM55" s="44">
        <v>10325</v>
      </c>
      <c r="AN55" s="44">
        <v>8680</v>
      </c>
      <c r="AO55" s="44">
        <v>1.19</v>
      </c>
      <c r="AP55" s="44">
        <v>7.77</v>
      </c>
      <c r="AQ55" s="44">
        <v>2.91</v>
      </c>
      <c r="AR55" s="44" t="s">
        <v>86</v>
      </c>
      <c r="AS55" s="44"/>
      <c r="AT55" s="44"/>
      <c r="AU55" s="44">
        <v>10304</v>
      </c>
      <c r="AV55" s="44">
        <v>6990</v>
      </c>
      <c r="AW55" s="44">
        <v>1.57</v>
      </c>
      <c r="AX55" s="44">
        <v>7.9</v>
      </c>
      <c r="AY55" s="44">
        <v>3.49</v>
      </c>
      <c r="AZ55" s="44" t="s">
        <v>86</v>
      </c>
      <c r="BA55" s="44"/>
      <c r="BB55" s="44"/>
      <c r="BC55" s="44"/>
      <c r="BD55" s="44"/>
      <c r="BE55" s="44"/>
      <c r="BF55" s="44"/>
      <c r="BG55" s="44"/>
      <c r="BH55" s="44"/>
      <c r="BI55" s="44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</row>
    <row r="56" spans="1:98" ht="15.75" customHeight="1">
      <c r="A56" s="43">
        <v>55</v>
      </c>
      <c r="B56" s="44">
        <v>753</v>
      </c>
      <c r="C56" s="44" t="s">
        <v>132</v>
      </c>
      <c r="D56" s="44">
        <v>6</v>
      </c>
      <c r="E56" s="44">
        <v>36440</v>
      </c>
      <c r="F56" s="44">
        <v>31200</v>
      </c>
      <c r="G56" s="44">
        <v>1.1299999999999999</v>
      </c>
      <c r="H56" s="44">
        <v>7.86</v>
      </c>
      <c r="I56" s="44">
        <v>4.03</v>
      </c>
      <c r="J56" s="44">
        <v>21</v>
      </c>
      <c r="K56" s="44">
        <v>1</v>
      </c>
      <c r="L56" s="44">
        <v>4</v>
      </c>
      <c r="M56" s="44">
        <v>1</v>
      </c>
      <c r="N56" s="44" t="s">
        <v>97</v>
      </c>
      <c r="O56" s="44">
        <v>10373</v>
      </c>
      <c r="P56" s="44">
        <v>8360</v>
      </c>
      <c r="Q56" s="44">
        <v>1.1200000000000001</v>
      </c>
      <c r="R56" s="44">
        <v>7.88</v>
      </c>
      <c r="S56" s="44">
        <v>3.14</v>
      </c>
      <c r="T56" s="1" t="s">
        <v>98</v>
      </c>
      <c r="U56" s="44"/>
      <c r="V56" s="44"/>
      <c r="W56" s="44">
        <v>10425</v>
      </c>
      <c r="X56" s="44">
        <v>6580</v>
      </c>
      <c r="Y56" s="44">
        <v>1.39</v>
      </c>
      <c r="Z56" s="44">
        <v>7.86</v>
      </c>
      <c r="AA56" s="44">
        <v>6.83</v>
      </c>
      <c r="AB56" s="44" t="s">
        <v>106</v>
      </c>
      <c r="AC56" s="44"/>
      <c r="AD56" s="44"/>
      <c r="AE56" s="52">
        <v>10381</v>
      </c>
      <c r="AF56" s="44">
        <v>6180</v>
      </c>
      <c r="AG56" s="44">
        <v>1.08</v>
      </c>
      <c r="AH56" s="44">
        <v>7.89</v>
      </c>
      <c r="AI56" s="44">
        <v>3.61</v>
      </c>
      <c r="AJ56" s="44" t="s">
        <v>98</v>
      </c>
      <c r="AK56" s="1"/>
      <c r="AL56" s="44"/>
      <c r="AM56" s="44">
        <v>10306</v>
      </c>
      <c r="AN56" s="44">
        <v>4060</v>
      </c>
      <c r="AO56" s="44">
        <v>1.3</v>
      </c>
      <c r="AP56" s="44">
        <v>7.74</v>
      </c>
      <c r="AQ56" s="44">
        <v>3.41</v>
      </c>
      <c r="AR56" s="44" t="s">
        <v>86</v>
      </c>
      <c r="AS56" s="44"/>
      <c r="AT56" s="44"/>
      <c r="AU56" s="44">
        <v>10421</v>
      </c>
      <c r="AV56" s="44">
        <v>3560</v>
      </c>
      <c r="AW56" s="44">
        <v>1.04</v>
      </c>
      <c r="AX56" s="44">
        <v>8.01</v>
      </c>
      <c r="AY56" s="44">
        <v>3.32</v>
      </c>
      <c r="AZ56" s="44" t="s">
        <v>98</v>
      </c>
      <c r="BA56" s="44"/>
      <c r="BB56" s="44"/>
      <c r="BC56" s="44">
        <v>10428</v>
      </c>
      <c r="BD56" s="44">
        <v>7700</v>
      </c>
      <c r="BE56" s="44">
        <v>0.97</v>
      </c>
      <c r="BF56" s="44">
        <v>7.86</v>
      </c>
      <c r="BG56" s="44">
        <v>3.74</v>
      </c>
      <c r="BH56" s="44" t="s">
        <v>98</v>
      </c>
      <c r="BI56" s="44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</row>
    <row r="57" spans="1:98" ht="15.75" customHeight="1">
      <c r="A57" s="43">
        <v>56</v>
      </c>
      <c r="B57" s="44">
        <v>755</v>
      </c>
      <c r="C57" s="44" t="s">
        <v>133</v>
      </c>
      <c r="D57" s="44">
        <v>6</v>
      </c>
      <c r="E57" s="44">
        <v>51780</v>
      </c>
      <c r="F57" s="44">
        <v>46800</v>
      </c>
      <c r="G57" s="44">
        <v>1.19</v>
      </c>
      <c r="H57" s="44">
        <v>7.85</v>
      </c>
      <c r="I57" s="44">
        <v>3.46</v>
      </c>
      <c r="J57" s="44">
        <v>20</v>
      </c>
      <c r="K57" s="44">
        <v>4</v>
      </c>
      <c r="L57" s="44">
        <v>2</v>
      </c>
      <c r="M57" s="44">
        <v>0</v>
      </c>
      <c r="N57" s="44" t="s">
        <v>97</v>
      </c>
      <c r="O57" s="44">
        <v>10464</v>
      </c>
      <c r="P57" s="44">
        <v>3300</v>
      </c>
      <c r="Q57" s="44">
        <v>1.1100000000000001</v>
      </c>
      <c r="R57" s="44">
        <v>7.84</v>
      </c>
      <c r="S57" s="44">
        <v>2.94</v>
      </c>
      <c r="T57" s="1" t="s">
        <v>98</v>
      </c>
      <c r="U57" s="44"/>
      <c r="V57" s="44"/>
      <c r="W57" s="44">
        <v>10392</v>
      </c>
      <c r="X57" s="44">
        <v>11360</v>
      </c>
      <c r="Y57" s="44">
        <v>1.22</v>
      </c>
      <c r="Z57" s="44">
        <v>7.98</v>
      </c>
      <c r="AA57" s="44">
        <v>3.87</v>
      </c>
      <c r="AB57" s="44" t="s">
        <v>86</v>
      </c>
      <c r="AC57" s="44"/>
      <c r="AD57" s="44"/>
      <c r="AE57" s="52">
        <v>10374</v>
      </c>
      <c r="AF57" s="44">
        <v>10880</v>
      </c>
      <c r="AG57" s="44">
        <v>1.1200000000000001</v>
      </c>
      <c r="AH57" s="52">
        <v>7.81</v>
      </c>
      <c r="AI57" s="44">
        <v>3.19</v>
      </c>
      <c r="AJ57" s="44" t="s">
        <v>98</v>
      </c>
      <c r="AK57" s="1"/>
      <c r="AL57" s="44"/>
      <c r="AM57" s="44">
        <v>10169</v>
      </c>
      <c r="AN57" s="44">
        <v>8520</v>
      </c>
      <c r="AO57" s="44">
        <v>1.29</v>
      </c>
      <c r="AP57" s="44">
        <v>7.89</v>
      </c>
      <c r="AQ57" s="44">
        <v>3.24</v>
      </c>
      <c r="AR57" s="44" t="s">
        <v>86</v>
      </c>
      <c r="AS57" s="44"/>
      <c r="AT57" s="44"/>
      <c r="AU57" s="44">
        <v>10356</v>
      </c>
      <c r="AV57" s="44">
        <v>8620</v>
      </c>
      <c r="AW57" s="44">
        <v>1.29</v>
      </c>
      <c r="AX57" s="44">
        <v>7.98</v>
      </c>
      <c r="AY57" s="44">
        <v>3.3</v>
      </c>
      <c r="AZ57" s="44" t="s">
        <v>86</v>
      </c>
      <c r="BA57" s="44"/>
      <c r="BB57" s="44"/>
      <c r="BC57" s="44">
        <v>10382</v>
      </c>
      <c r="BD57" s="44">
        <v>9100</v>
      </c>
      <c r="BE57" s="44">
        <v>1.1399999999999999</v>
      </c>
      <c r="BF57" s="44">
        <v>7.63</v>
      </c>
      <c r="BG57" s="44">
        <v>3.7</v>
      </c>
      <c r="BH57" s="44" t="s">
        <v>86</v>
      </c>
      <c r="BI57" s="44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</row>
    <row r="58" spans="1:98" ht="15.75" customHeight="1">
      <c r="A58" s="43">
        <v>57</v>
      </c>
      <c r="B58" s="44">
        <v>757</v>
      </c>
      <c r="C58" s="44" t="s">
        <v>134</v>
      </c>
      <c r="D58" s="44">
        <v>5</v>
      </c>
      <c r="E58" s="44">
        <v>27400</v>
      </c>
      <c r="F58" s="44">
        <v>22900</v>
      </c>
      <c r="G58" s="44">
        <v>1.2</v>
      </c>
      <c r="H58" s="44">
        <v>7.91</v>
      </c>
      <c r="I58" s="44">
        <v>3.74</v>
      </c>
      <c r="J58" s="44">
        <v>21</v>
      </c>
      <c r="K58" s="44">
        <v>2</v>
      </c>
      <c r="L58" s="44">
        <v>2</v>
      </c>
      <c r="M58" s="44">
        <v>1</v>
      </c>
      <c r="N58" s="44" t="s">
        <v>97</v>
      </c>
      <c r="O58" s="44">
        <v>10502</v>
      </c>
      <c r="P58" s="44">
        <v>6900</v>
      </c>
      <c r="Q58" s="44">
        <v>1.05</v>
      </c>
      <c r="R58" s="44">
        <v>8.0299999999999994</v>
      </c>
      <c r="S58" s="44">
        <v>3.98</v>
      </c>
      <c r="T58" s="1" t="s">
        <v>98</v>
      </c>
      <c r="U58" s="44"/>
      <c r="V58" s="44"/>
      <c r="W58" s="44">
        <v>10389</v>
      </c>
      <c r="X58" s="44">
        <v>7020</v>
      </c>
      <c r="Y58" s="44">
        <v>1.41</v>
      </c>
      <c r="Z58" s="44">
        <v>8.06</v>
      </c>
      <c r="AA58" s="44">
        <v>4.2</v>
      </c>
      <c r="AB58" s="44" t="s">
        <v>86</v>
      </c>
      <c r="AC58" s="44"/>
      <c r="AD58" s="44"/>
      <c r="AE58" s="52">
        <v>10501</v>
      </c>
      <c r="AF58" s="44">
        <v>5880</v>
      </c>
      <c r="AG58" s="44">
        <v>1.24</v>
      </c>
      <c r="AH58" s="52">
        <v>8.11</v>
      </c>
      <c r="AI58" s="44">
        <v>4.33</v>
      </c>
      <c r="AJ58" s="44" t="s">
        <v>98</v>
      </c>
      <c r="AK58" s="1"/>
      <c r="AL58" s="44"/>
      <c r="AM58" s="44">
        <v>10315</v>
      </c>
      <c r="AN58" s="44">
        <v>4040</v>
      </c>
      <c r="AO58" s="44">
        <v>1.0900000000000001</v>
      </c>
      <c r="AP58" s="44">
        <v>7.78</v>
      </c>
      <c r="AQ58" s="44">
        <v>3.59</v>
      </c>
      <c r="AR58" s="44" t="s">
        <v>86</v>
      </c>
      <c r="AS58" s="44"/>
      <c r="AT58" s="44"/>
      <c r="AU58" s="44">
        <v>10340</v>
      </c>
      <c r="AV58" s="44">
        <v>3560</v>
      </c>
      <c r="AW58" s="44">
        <v>1.1200000000000001</v>
      </c>
      <c r="AX58" s="44">
        <v>7.77</v>
      </c>
      <c r="AY58" s="44">
        <v>2</v>
      </c>
      <c r="AZ58" s="44" t="s">
        <v>106</v>
      </c>
      <c r="BA58" s="44"/>
      <c r="BB58" s="44"/>
      <c r="BC58" s="44"/>
      <c r="BD58" s="44"/>
      <c r="BE58" s="44"/>
      <c r="BF58" s="44"/>
      <c r="BG58" s="44"/>
      <c r="BH58" s="44"/>
      <c r="BI58" s="44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</row>
    <row r="59" spans="1:98" ht="15.75" customHeight="1">
      <c r="A59" s="43">
        <v>58</v>
      </c>
      <c r="B59" s="44">
        <v>758</v>
      </c>
      <c r="C59" s="44" t="s">
        <v>135</v>
      </c>
      <c r="D59" s="44">
        <v>7</v>
      </c>
      <c r="E59" s="44">
        <v>44240</v>
      </c>
      <c r="F59" s="44">
        <v>38400</v>
      </c>
      <c r="G59" s="44">
        <v>1.44</v>
      </c>
      <c r="H59" s="44">
        <v>7.78</v>
      </c>
      <c r="I59" s="44">
        <v>3.42</v>
      </c>
      <c r="J59" s="44">
        <v>20</v>
      </c>
      <c r="K59" s="44">
        <v>5</v>
      </c>
      <c r="L59" s="44">
        <v>1</v>
      </c>
      <c r="M59" s="44">
        <v>1</v>
      </c>
      <c r="N59" s="44" t="s">
        <v>99</v>
      </c>
      <c r="O59" s="44">
        <v>10467</v>
      </c>
      <c r="P59" s="44">
        <v>3660</v>
      </c>
      <c r="Q59" s="44">
        <v>1.1399999999999999</v>
      </c>
      <c r="R59" s="44">
        <v>7.82</v>
      </c>
      <c r="S59" s="44">
        <v>1.42</v>
      </c>
      <c r="T59" s="1" t="s">
        <v>106</v>
      </c>
      <c r="U59" s="44"/>
      <c r="V59" s="44"/>
      <c r="W59" s="44">
        <v>10488</v>
      </c>
      <c r="X59" s="44">
        <v>8360</v>
      </c>
      <c r="Y59" s="44">
        <v>1.91</v>
      </c>
      <c r="Z59" s="44">
        <v>7.58</v>
      </c>
      <c r="AA59" s="44">
        <v>4.05</v>
      </c>
      <c r="AB59" s="44" t="s">
        <v>86</v>
      </c>
      <c r="AC59" s="44"/>
      <c r="AD59" s="44"/>
      <c r="AE59" s="52">
        <v>10498</v>
      </c>
      <c r="AF59" s="44">
        <v>7760</v>
      </c>
      <c r="AG59" s="44">
        <v>1.37</v>
      </c>
      <c r="AH59" s="52">
        <v>7.81</v>
      </c>
      <c r="AI59" s="44">
        <v>3.9</v>
      </c>
      <c r="AJ59" s="44" t="s">
        <v>86</v>
      </c>
      <c r="AK59" s="1"/>
      <c r="AL59" s="44"/>
      <c r="AM59" s="44">
        <v>10461</v>
      </c>
      <c r="AN59" s="44">
        <v>5020</v>
      </c>
      <c r="AO59" s="44">
        <v>1.1299999999999999</v>
      </c>
      <c r="AP59" s="44">
        <v>7.65</v>
      </c>
      <c r="AQ59" s="44">
        <v>3.03</v>
      </c>
      <c r="AR59" s="44" t="s">
        <v>98</v>
      </c>
      <c r="AS59" s="44"/>
      <c r="AT59" s="44"/>
      <c r="AU59" s="44">
        <v>10469</v>
      </c>
      <c r="AV59" s="44">
        <v>4380</v>
      </c>
      <c r="AW59" s="44">
        <v>1.49</v>
      </c>
      <c r="AX59" s="44">
        <v>7.84</v>
      </c>
      <c r="AY59" s="44">
        <v>2.72</v>
      </c>
      <c r="AZ59" s="44" t="s">
        <v>86</v>
      </c>
      <c r="BA59" s="44"/>
      <c r="BB59" s="44"/>
      <c r="BC59" s="44">
        <v>10487</v>
      </c>
      <c r="BD59" s="44">
        <v>8520</v>
      </c>
      <c r="BE59" s="44">
        <v>1.47</v>
      </c>
      <c r="BF59" s="44">
        <v>7.94</v>
      </c>
      <c r="BG59" s="44">
        <v>3.41</v>
      </c>
      <c r="BH59" s="44" t="s">
        <v>86</v>
      </c>
      <c r="BI59" s="44"/>
      <c r="BJ59" s="51"/>
      <c r="BK59" s="44">
        <v>10496</v>
      </c>
      <c r="BL59" s="44">
        <v>6540</v>
      </c>
      <c r="BM59" s="44">
        <v>1.34</v>
      </c>
      <c r="BN59" s="44">
        <v>7.96</v>
      </c>
      <c r="BO59" s="44">
        <v>4.05</v>
      </c>
      <c r="BP59" s="44" t="s">
        <v>86</v>
      </c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</row>
    <row r="60" spans="1:98" ht="15.75" customHeight="1">
      <c r="A60" s="43">
        <v>59</v>
      </c>
      <c r="B60" s="44">
        <v>759</v>
      </c>
      <c r="C60" s="44" t="s">
        <v>136</v>
      </c>
      <c r="D60" s="44">
        <v>5</v>
      </c>
      <c r="E60" s="44">
        <v>33540</v>
      </c>
      <c r="F60" s="44">
        <v>29600</v>
      </c>
      <c r="G60" s="44">
        <v>1.22</v>
      </c>
      <c r="H60" s="44">
        <v>7.78</v>
      </c>
      <c r="I60" s="44">
        <v>3.58</v>
      </c>
      <c r="J60" s="44">
        <v>20</v>
      </c>
      <c r="K60" s="44">
        <v>3</v>
      </c>
      <c r="L60" s="44">
        <v>2</v>
      </c>
      <c r="M60" s="44">
        <v>0</v>
      </c>
      <c r="N60" s="44" t="s">
        <v>97</v>
      </c>
      <c r="O60" s="44">
        <v>10485</v>
      </c>
      <c r="P60" s="44">
        <v>7840</v>
      </c>
      <c r="Q60" s="44">
        <v>1.1299999999999999</v>
      </c>
      <c r="R60" s="44">
        <v>8.08</v>
      </c>
      <c r="S60" s="44">
        <v>2.98</v>
      </c>
      <c r="T60" s="44" t="s">
        <v>98</v>
      </c>
      <c r="U60" s="44"/>
      <c r="V60" s="44"/>
      <c r="W60" s="44">
        <v>10383</v>
      </c>
      <c r="X60" s="44">
        <v>7920</v>
      </c>
      <c r="Y60" s="44">
        <v>1.1100000000000001</v>
      </c>
      <c r="Z60" s="44">
        <v>7.62</v>
      </c>
      <c r="AA60" s="44">
        <v>3.57</v>
      </c>
      <c r="AB60" s="44" t="s">
        <v>86</v>
      </c>
      <c r="AC60" s="44"/>
      <c r="AD60" s="44"/>
      <c r="AE60" s="52">
        <v>10466</v>
      </c>
      <c r="AF60" s="44">
        <v>1300</v>
      </c>
      <c r="AG60" s="44">
        <v>1.0900000000000001</v>
      </c>
      <c r="AH60" s="52">
        <v>7.52</v>
      </c>
      <c r="AI60" s="44">
        <v>1.1200000000000001</v>
      </c>
      <c r="AJ60" s="44" t="s">
        <v>98</v>
      </c>
      <c r="AK60" s="1"/>
      <c r="AL60" s="44"/>
      <c r="AM60" s="44">
        <v>10458</v>
      </c>
      <c r="AN60" s="44">
        <v>8980</v>
      </c>
      <c r="AO60" s="44">
        <v>1.35</v>
      </c>
      <c r="AP60" s="44">
        <v>7.76</v>
      </c>
      <c r="AQ60" s="44">
        <v>4.24</v>
      </c>
      <c r="AR60" s="44" t="s">
        <v>86</v>
      </c>
      <c r="AS60" s="44"/>
      <c r="AT60" s="44"/>
      <c r="AU60" s="44">
        <v>10391</v>
      </c>
      <c r="AV60" s="44">
        <v>7500</v>
      </c>
      <c r="AW60" s="44">
        <v>1.28</v>
      </c>
      <c r="AX60" s="44">
        <v>7.89</v>
      </c>
      <c r="AY60" s="44">
        <v>3.92</v>
      </c>
      <c r="AZ60" s="44" t="s">
        <v>86</v>
      </c>
      <c r="BA60" s="44"/>
      <c r="BB60" s="44"/>
      <c r="BC60" s="49">
        <v>10407</v>
      </c>
      <c r="BD60" s="49">
        <v>2900</v>
      </c>
      <c r="BE60" s="49"/>
      <c r="BF60" s="49"/>
      <c r="BG60" s="49"/>
      <c r="BH60" s="49"/>
      <c r="BI60" s="49" t="s">
        <v>112</v>
      </c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</row>
    <row r="61" spans="1:98" ht="15.75" customHeight="1">
      <c r="A61" s="43">
        <v>60</v>
      </c>
      <c r="B61" s="44">
        <v>761</v>
      </c>
      <c r="C61" s="45">
        <v>45329</v>
      </c>
      <c r="D61" s="44">
        <v>6</v>
      </c>
      <c r="E61" s="44">
        <v>44320</v>
      </c>
      <c r="F61" s="44">
        <v>39000</v>
      </c>
      <c r="G61" s="44">
        <v>1.2</v>
      </c>
      <c r="H61" s="44">
        <v>7.83</v>
      </c>
      <c r="I61" s="44">
        <v>3.87</v>
      </c>
      <c r="J61" s="44">
        <v>21</v>
      </c>
      <c r="K61" s="44">
        <v>1</v>
      </c>
      <c r="L61" s="44">
        <v>5</v>
      </c>
      <c r="M61" s="44">
        <v>0</v>
      </c>
      <c r="N61" s="44" t="s">
        <v>97</v>
      </c>
      <c r="O61" s="44">
        <v>10471</v>
      </c>
      <c r="P61" s="44">
        <v>9200</v>
      </c>
      <c r="Q61" s="44">
        <v>1.17</v>
      </c>
      <c r="R61" s="44">
        <v>7.95</v>
      </c>
      <c r="S61" s="44">
        <v>3.6</v>
      </c>
      <c r="T61" s="44" t="s">
        <v>98</v>
      </c>
      <c r="U61" s="44"/>
      <c r="V61" s="44"/>
      <c r="W61" s="44">
        <v>10548</v>
      </c>
      <c r="X61" s="44">
        <v>4500</v>
      </c>
      <c r="Y61" s="44">
        <v>1.06</v>
      </c>
      <c r="Z61" s="44">
        <v>7.9</v>
      </c>
      <c r="AA61" s="44">
        <v>4.45</v>
      </c>
      <c r="AB61" s="44" t="s">
        <v>98</v>
      </c>
      <c r="AC61" s="44"/>
      <c r="AD61" s="44"/>
      <c r="AE61" s="52">
        <v>10344</v>
      </c>
      <c r="AF61" s="52">
        <v>3400</v>
      </c>
      <c r="AG61" s="44">
        <v>1.1299999999999999</v>
      </c>
      <c r="AH61" s="52">
        <v>8.1</v>
      </c>
      <c r="AI61" s="44">
        <v>2.94</v>
      </c>
      <c r="AJ61" s="44" t="s">
        <v>98</v>
      </c>
      <c r="AK61" s="44"/>
      <c r="AL61" s="44"/>
      <c r="AM61" s="44">
        <v>10528</v>
      </c>
      <c r="AN61" s="44">
        <v>11280</v>
      </c>
      <c r="AO61" s="44">
        <v>1.19</v>
      </c>
      <c r="AP61" s="44">
        <v>7.96</v>
      </c>
      <c r="AQ61" s="44">
        <v>4</v>
      </c>
      <c r="AR61" s="44" t="s">
        <v>98</v>
      </c>
      <c r="AS61" s="44"/>
      <c r="AT61" s="44"/>
      <c r="AU61" s="44">
        <v>10542</v>
      </c>
      <c r="AV61" s="44">
        <v>7160</v>
      </c>
      <c r="AW61" s="44">
        <v>1.3</v>
      </c>
      <c r="AX61" s="44">
        <v>7.82</v>
      </c>
      <c r="AY61" s="44">
        <v>3.71</v>
      </c>
      <c r="AZ61" s="44" t="s">
        <v>86</v>
      </c>
      <c r="BA61" s="44"/>
      <c r="BB61" s="44"/>
      <c r="BC61" s="44">
        <v>10545</v>
      </c>
      <c r="BD61" s="44">
        <v>8780</v>
      </c>
      <c r="BE61" s="44">
        <v>1.35</v>
      </c>
      <c r="BF61" s="44">
        <v>7.59</v>
      </c>
      <c r="BG61" s="44">
        <v>4.0199999999999996</v>
      </c>
      <c r="BH61" s="44" t="s">
        <v>98</v>
      </c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</row>
    <row r="62" spans="1:98" ht="15.75" customHeight="1">
      <c r="A62" s="43">
        <v>61</v>
      </c>
      <c r="B62" s="44">
        <v>764</v>
      </c>
      <c r="C62" s="45">
        <v>45511</v>
      </c>
      <c r="D62" s="44">
        <v>6</v>
      </c>
      <c r="E62" s="44">
        <v>44110</v>
      </c>
      <c r="F62" s="44">
        <v>39000</v>
      </c>
      <c r="G62" s="44">
        <v>1.29</v>
      </c>
      <c r="H62" s="44">
        <v>7.95</v>
      </c>
      <c r="I62" s="44">
        <v>3.33</v>
      </c>
      <c r="J62" s="44">
        <v>20</v>
      </c>
      <c r="K62" s="44">
        <v>3</v>
      </c>
      <c r="L62" s="44">
        <v>3</v>
      </c>
      <c r="M62" s="44">
        <v>0</v>
      </c>
      <c r="N62" s="44" t="s">
        <v>111</v>
      </c>
      <c r="O62" s="44">
        <v>10573</v>
      </c>
      <c r="P62" s="44">
        <v>8930</v>
      </c>
      <c r="Q62" s="44">
        <v>1.0900000000000001</v>
      </c>
      <c r="R62" s="44">
        <v>8.0299999999999994</v>
      </c>
      <c r="S62" s="44">
        <v>3.14</v>
      </c>
      <c r="T62" s="44" t="s">
        <v>86</v>
      </c>
      <c r="U62" s="44"/>
      <c r="V62" s="44"/>
      <c r="W62" s="44">
        <v>10388</v>
      </c>
      <c r="X62" s="44">
        <v>10540</v>
      </c>
      <c r="Y62" s="44">
        <v>1.63</v>
      </c>
      <c r="Z62" s="44">
        <v>7.98</v>
      </c>
      <c r="AA62" s="44">
        <v>3.88</v>
      </c>
      <c r="AB62" s="44" t="s">
        <v>86</v>
      </c>
      <c r="AC62" s="44"/>
      <c r="AD62" s="44"/>
      <c r="AE62" s="44">
        <v>10585</v>
      </c>
      <c r="AF62" s="52">
        <v>8340</v>
      </c>
      <c r="AG62" s="44">
        <v>1.07</v>
      </c>
      <c r="AH62" s="52">
        <v>8.01</v>
      </c>
      <c r="AI62" s="44">
        <v>2.69</v>
      </c>
      <c r="AJ62" s="44" t="s">
        <v>98</v>
      </c>
      <c r="AK62" s="44"/>
      <c r="AL62" s="44"/>
      <c r="AM62" s="44">
        <v>10588</v>
      </c>
      <c r="AN62" s="44">
        <v>5700</v>
      </c>
      <c r="AO62" s="44">
        <v>1.32</v>
      </c>
      <c r="AP62" s="44">
        <v>7.59</v>
      </c>
      <c r="AQ62" s="44">
        <v>4.03</v>
      </c>
      <c r="AR62" s="44" t="s">
        <v>98</v>
      </c>
      <c r="AS62" s="44"/>
      <c r="AT62" s="44"/>
      <c r="AU62" s="44">
        <v>10500</v>
      </c>
      <c r="AV62" s="44">
        <v>2160</v>
      </c>
      <c r="AW62" s="44">
        <v>1.24</v>
      </c>
      <c r="AX62" s="44">
        <v>7.9</v>
      </c>
      <c r="AY62" s="44">
        <v>1.87</v>
      </c>
      <c r="AZ62" s="44" t="s">
        <v>98</v>
      </c>
      <c r="BA62" s="44"/>
      <c r="BB62" s="44"/>
      <c r="BC62" s="44">
        <v>10358</v>
      </c>
      <c r="BD62" s="44">
        <v>8440</v>
      </c>
      <c r="BE62" s="44">
        <v>1.26</v>
      </c>
      <c r="BF62" s="44">
        <v>8.01</v>
      </c>
      <c r="BG62" s="44">
        <v>3.38</v>
      </c>
      <c r="BH62" s="44" t="s">
        <v>86</v>
      </c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</row>
    <row r="63" spans="1:98" ht="15.75" customHeight="1">
      <c r="A63" s="43">
        <v>62</v>
      </c>
      <c r="B63" s="44">
        <v>768</v>
      </c>
      <c r="C63" s="44" t="s">
        <v>137</v>
      </c>
      <c r="D63" s="44">
        <v>5</v>
      </c>
      <c r="E63" s="44">
        <v>26840</v>
      </c>
      <c r="F63" s="44">
        <v>23200</v>
      </c>
      <c r="G63" s="44">
        <v>1.22</v>
      </c>
      <c r="H63" s="44">
        <v>7.59</v>
      </c>
      <c r="I63" s="44">
        <v>3.36</v>
      </c>
      <c r="J63" s="44">
        <v>19</v>
      </c>
      <c r="K63" s="44">
        <v>4</v>
      </c>
      <c r="L63" s="44">
        <v>1</v>
      </c>
      <c r="M63" s="44">
        <v>0</v>
      </c>
      <c r="N63" s="44" t="s">
        <v>111</v>
      </c>
      <c r="O63" s="44">
        <v>10551</v>
      </c>
      <c r="P63" s="44">
        <v>3680</v>
      </c>
      <c r="Q63" s="44">
        <v>0.95</v>
      </c>
      <c r="R63" s="44">
        <v>7.58</v>
      </c>
      <c r="S63" s="44">
        <v>2.4700000000000002</v>
      </c>
      <c r="T63" s="44" t="s">
        <v>86</v>
      </c>
      <c r="U63" s="44"/>
      <c r="V63" s="44"/>
      <c r="W63" s="44">
        <v>10583</v>
      </c>
      <c r="X63" s="44">
        <v>4720</v>
      </c>
      <c r="Y63" s="44">
        <v>1.08</v>
      </c>
      <c r="Z63" s="44">
        <v>7.79</v>
      </c>
      <c r="AA63" s="44">
        <v>2.93</v>
      </c>
      <c r="AB63" s="44" t="s">
        <v>98</v>
      </c>
      <c r="AC63" s="44"/>
      <c r="AD63" s="44"/>
      <c r="AE63" s="44">
        <v>10587</v>
      </c>
      <c r="AF63" s="52">
        <v>10580</v>
      </c>
      <c r="AG63" s="44">
        <v>1.33</v>
      </c>
      <c r="AH63" s="52">
        <v>7.45</v>
      </c>
      <c r="AI63" s="44">
        <v>3.74</v>
      </c>
      <c r="AJ63" s="44" t="s">
        <v>86</v>
      </c>
      <c r="AK63" s="44"/>
      <c r="AL63" s="44"/>
      <c r="AM63" s="44">
        <v>10393</v>
      </c>
      <c r="AN63" s="44">
        <v>4920</v>
      </c>
      <c r="AO63" s="44">
        <v>1.24</v>
      </c>
      <c r="AP63" s="44">
        <v>7.82</v>
      </c>
      <c r="AQ63" s="44">
        <v>3.76</v>
      </c>
      <c r="AR63" s="44" t="s">
        <v>86</v>
      </c>
      <c r="AS63" s="44"/>
      <c r="AT63" s="44"/>
      <c r="AU63" s="44">
        <v>10606</v>
      </c>
      <c r="AV63" s="44">
        <v>2940</v>
      </c>
      <c r="AW63" s="44">
        <v>1.37</v>
      </c>
      <c r="AX63" s="44">
        <v>7.51</v>
      </c>
      <c r="AY63" s="44">
        <v>3.07</v>
      </c>
      <c r="AZ63" s="44" t="s">
        <v>86</v>
      </c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</row>
    <row r="64" spans="1:98" ht="15.75" customHeight="1">
      <c r="A64" s="43">
        <v>63</v>
      </c>
      <c r="B64" s="44">
        <v>766</v>
      </c>
      <c r="C64" s="45">
        <v>45603</v>
      </c>
      <c r="D64" s="44">
        <v>4</v>
      </c>
      <c r="E64" s="44">
        <v>37120</v>
      </c>
      <c r="F64" s="44">
        <v>31200</v>
      </c>
      <c r="G64" s="44">
        <v>1.38</v>
      </c>
      <c r="H64" s="44">
        <v>7.67</v>
      </c>
      <c r="I64" s="44">
        <v>3.63</v>
      </c>
      <c r="J64" s="44">
        <v>20</v>
      </c>
      <c r="K64" s="44">
        <v>3</v>
      </c>
      <c r="L64" s="44">
        <v>1</v>
      </c>
      <c r="M64" s="44">
        <v>0</v>
      </c>
      <c r="N64" s="44" t="s">
        <v>99</v>
      </c>
      <c r="O64" s="44">
        <v>10609</v>
      </c>
      <c r="P64" s="44">
        <v>8820</v>
      </c>
      <c r="Q64" s="44">
        <v>1.33</v>
      </c>
      <c r="R64" s="44">
        <v>7.62</v>
      </c>
      <c r="S64" s="44">
        <v>3.53</v>
      </c>
      <c r="T64" s="44" t="s">
        <v>86</v>
      </c>
      <c r="U64" s="44"/>
      <c r="V64" s="44"/>
      <c r="W64" s="44">
        <v>10586</v>
      </c>
      <c r="X64" s="44">
        <v>9640</v>
      </c>
      <c r="Y64" s="44">
        <v>1.54</v>
      </c>
      <c r="Z64" s="44">
        <v>7.78</v>
      </c>
      <c r="AA64" s="44">
        <v>2.68</v>
      </c>
      <c r="AB64" s="44" t="s">
        <v>86</v>
      </c>
      <c r="AC64" s="44"/>
      <c r="AD64" s="44"/>
      <c r="AE64" s="52">
        <v>10591</v>
      </c>
      <c r="AF64" s="52">
        <v>10780</v>
      </c>
      <c r="AG64" s="44">
        <v>1.37</v>
      </c>
      <c r="AH64" s="52">
        <v>7.62</v>
      </c>
      <c r="AI64" s="44">
        <v>3.56</v>
      </c>
      <c r="AJ64" s="44" t="s">
        <v>86</v>
      </c>
      <c r="AK64" s="44"/>
      <c r="AL64" s="44"/>
      <c r="AM64" s="44">
        <v>10624</v>
      </c>
      <c r="AN64" s="44">
        <v>7880</v>
      </c>
      <c r="AO64" s="44">
        <v>1.18</v>
      </c>
      <c r="AP64" s="44">
        <v>7.57</v>
      </c>
      <c r="AQ64" s="44">
        <v>4.96</v>
      </c>
      <c r="AR64" s="44" t="s">
        <v>98</v>
      </c>
      <c r="AS64" s="44"/>
      <c r="AT64" s="44"/>
      <c r="AU64" s="53">
        <v>10614</v>
      </c>
      <c r="AV64" s="53">
        <v>6240</v>
      </c>
      <c r="AW64" s="53">
        <v>1.23</v>
      </c>
      <c r="AX64" s="53">
        <v>7.86</v>
      </c>
      <c r="AY64" s="53">
        <v>2.27</v>
      </c>
      <c r="AZ64" s="53" t="s">
        <v>98</v>
      </c>
      <c r="BA64" s="53" t="s">
        <v>112</v>
      </c>
      <c r="BB64" s="44"/>
      <c r="BC64" s="49">
        <v>10617</v>
      </c>
      <c r="BD64" s="49">
        <v>8500</v>
      </c>
      <c r="BE64" s="49"/>
      <c r="BF64" s="49"/>
      <c r="BG64" s="49"/>
      <c r="BH64" s="49"/>
      <c r="BI64" s="49" t="s">
        <v>112</v>
      </c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</row>
    <row r="65" spans="1:98" ht="15.75" customHeight="1">
      <c r="A65" s="43">
        <v>64</v>
      </c>
      <c r="B65" s="44">
        <v>773</v>
      </c>
      <c r="C65" s="44" t="s">
        <v>138</v>
      </c>
      <c r="D65" s="44">
        <v>5</v>
      </c>
      <c r="E65" s="44">
        <v>36720</v>
      </c>
      <c r="F65" s="44">
        <v>31200</v>
      </c>
      <c r="G65" s="44">
        <v>1.1200000000000001</v>
      </c>
      <c r="H65" s="44">
        <v>7.69</v>
      </c>
      <c r="I65" s="44">
        <v>3.69</v>
      </c>
      <c r="J65" s="44">
        <v>20</v>
      </c>
      <c r="K65" s="44">
        <v>2</v>
      </c>
      <c r="L65" s="44">
        <v>3</v>
      </c>
      <c r="M65" s="44">
        <v>0</v>
      </c>
      <c r="N65" s="44" t="s">
        <v>97</v>
      </c>
      <c r="O65" s="44">
        <v>10665</v>
      </c>
      <c r="P65" s="44">
        <v>6460</v>
      </c>
      <c r="Q65" s="44">
        <v>0.88</v>
      </c>
      <c r="R65" s="44">
        <v>7.68</v>
      </c>
      <c r="S65" s="44">
        <v>3.79</v>
      </c>
      <c r="T65" s="44" t="s">
        <v>98</v>
      </c>
      <c r="U65" s="44"/>
      <c r="V65" s="44"/>
      <c r="W65" s="44">
        <v>10671</v>
      </c>
      <c r="X65" s="44">
        <v>6720</v>
      </c>
      <c r="Y65" s="52">
        <v>1.1100000000000001</v>
      </c>
      <c r="Z65" s="44">
        <v>7.74</v>
      </c>
      <c r="AA65" s="44">
        <v>4.08</v>
      </c>
      <c r="AB65" s="44" t="s">
        <v>86</v>
      </c>
      <c r="AC65" s="44"/>
      <c r="AD65" s="44"/>
      <c r="AE65" s="52">
        <v>10709</v>
      </c>
      <c r="AF65" s="52">
        <v>5120</v>
      </c>
      <c r="AG65" s="44">
        <v>1.0900000000000001</v>
      </c>
      <c r="AH65" s="44">
        <v>7.75</v>
      </c>
      <c r="AI65" s="44">
        <v>3.4</v>
      </c>
      <c r="AJ65" s="44" t="s">
        <v>98</v>
      </c>
      <c r="AK65" s="44"/>
      <c r="AL65" s="44"/>
      <c r="AM65" s="44">
        <v>10667</v>
      </c>
      <c r="AN65" s="44">
        <v>8920</v>
      </c>
      <c r="AO65" s="44">
        <v>1.43</v>
      </c>
      <c r="AP65" s="44">
        <v>7.55</v>
      </c>
      <c r="AQ65" s="44">
        <v>3.71</v>
      </c>
      <c r="AR65" s="44" t="s">
        <v>86</v>
      </c>
      <c r="AS65" s="44"/>
      <c r="AT65" s="44"/>
      <c r="AU65" s="44">
        <v>10691</v>
      </c>
      <c r="AV65" s="44">
        <v>9500</v>
      </c>
      <c r="AW65" s="44">
        <v>1.04</v>
      </c>
      <c r="AX65" s="44">
        <v>7.73</v>
      </c>
      <c r="AY65" s="44">
        <v>3.44</v>
      </c>
      <c r="AZ65" s="44" t="s">
        <v>98</v>
      </c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</row>
    <row r="66" spans="1:98" ht="15.75" customHeight="1">
      <c r="A66" s="43">
        <v>65</v>
      </c>
      <c r="B66" s="44">
        <v>774</v>
      </c>
      <c r="C66" s="44" t="s">
        <v>139</v>
      </c>
      <c r="D66" s="44">
        <v>6</v>
      </c>
      <c r="E66" s="44">
        <v>44120</v>
      </c>
      <c r="F66" s="44">
        <v>39000</v>
      </c>
      <c r="G66" s="44">
        <v>1.1100000000000001</v>
      </c>
      <c r="H66" s="44">
        <v>7.69</v>
      </c>
      <c r="I66" s="44">
        <v>3.09</v>
      </c>
      <c r="J66" s="44">
        <v>19</v>
      </c>
      <c r="K66" s="44">
        <v>4</v>
      </c>
      <c r="L66" s="44">
        <v>2</v>
      </c>
      <c r="M66" s="44">
        <v>0</v>
      </c>
      <c r="N66" s="44" t="s">
        <v>111</v>
      </c>
      <c r="O66" s="44">
        <v>10689</v>
      </c>
      <c r="P66" s="44">
        <v>9560</v>
      </c>
      <c r="Q66" s="44">
        <v>1.05</v>
      </c>
      <c r="R66" s="44">
        <v>7.73</v>
      </c>
      <c r="S66" s="44">
        <v>2.95</v>
      </c>
      <c r="T66" s="44" t="s">
        <v>86</v>
      </c>
      <c r="U66" s="44"/>
      <c r="V66" s="44"/>
      <c r="W66" s="44">
        <v>10668</v>
      </c>
      <c r="X66" s="44">
        <v>4600</v>
      </c>
      <c r="Y66" s="52">
        <v>1.03</v>
      </c>
      <c r="Z66" s="44">
        <v>7.7</v>
      </c>
      <c r="AA66" s="44">
        <v>3.9</v>
      </c>
      <c r="AB66" s="44" t="s">
        <v>98</v>
      </c>
      <c r="AC66" s="44"/>
      <c r="AD66" s="44"/>
      <c r="AE66" s="52">
        <v>10695</v>
      </c>
      <c r="AF66" s="44">
        <v>6960</v>
      </c>
      <c r="AG66" s="44">
        <v>1.26</v>
      </c>
      <c r="AH66" s="44">
        <v>7.8</v>
      </c>
      <c r="AI66" s="44">
        <v>3.41</v>
      </c>
      <c r="AJ66" s="44" t="s">
        <v>86</v>
      </c>
      <c r="AK66" s="44"/>
      <c r="AL66" s="44"/>
      <c r="AM66" s="44">
        <v>10720</v>
      </c>
      <c r="AN66" s="44">
        <v>9240</v>
      </c>
      <c r="AO66" s="44">
        <v>1.01</v>
      </c>
      <c r="AP66" s="44">
        <v>7.67</v>
      </c>
      <c r="AQ66" s="44">
        <v>3.1</v>
      </c>
      <c r="AR66" s="44" t="s">
        <v>98</v>
      </c>
      <c r="AS66" s="44"/>
      <c r="AT66" s="52"/>
      <c r="AU66" s="44">
        <v>10718</v>
      </c>
      <c r="AV66" s="44">
        <v>6740</v>
      </c>
      <c r="AW66" s="44">
        <v>1.0900000000000001</v>
      </c>
      <c r="AX66" s="44">
        <v>7.63</v>
      </c>
      <c r="AY66" s="44">
        <v>2.36</v>
      </c>
      <c r="AZ66" s="44" t="s">
        <v>86</v>
      </c>
      <c r="BA66" s="44"/>
      <c r="BB66" s="44"/>
      <c r="BC66" s="44">
        <v>10688</v>
      </c>
      <c r="BD66" s="44">
        <v>7020</v>
      </c>
      <c r="BE66" s="44">
        <v>1.31</v>
      </c>
      <c r="BF66" s="44">
        <v>7.58</v>
      </c>
      <c r="BG66" s="44">
        <v>3.28</v>
      </c>
      <c r="BH66" s="44" t="s">
        <v>86</v>
      </c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</row>
    <row r="67" spans="1:98" ht="15.75" customHeight="1">
      <c r="A67" s="43">
        <v>66</v>
      </c>
      <c r="B67" s="44">
        <v>775</v>
      </c>
      <c r="C67" s="44" t="s">
        <v>140</v>
      </c>
      <c r="D67" s="44">
        <v>6</v>
      </c>
      <c r="E67" s="44">
        <v>44440</v>
      </c>
      <c r="F67" s="44">
        <v>39000</v>
      </c>
      <c r="G67" s="44">
        <v>1.0900000000000001</v>
      </c>
      <c r="H67" s="44">
        <v>7.67</v>
      </c>
      <c r="I67" s="44">
        <v>3.48</v>
      </c>
      <c r="J67" s="44">
        <v>20</v>
      </c>
      <c r="K67" s="44">
        <v>1</v>
      </c>
      <c r="L67" s="44">
        <v>5</v>
      </c>
      <c r="M67" s="44">
        <v>0</v>
      </c>
      <c r="N67" s="44" t="s">
        <v>97</v>
      </c>
      <c r="O67" s="44">
        <v>10529</v>
      </c>
      <c r="P67" s="44">
        <v>8960</v>
      </c>
      <c r="Q67" s="44">
        <v>1.18</v>
      </c>
      <c r="R67" s="44">
        <v>7.67</v>
      </c>
      <c r="S67" s="44">
        <v>4.08</v>
      </c>
      <c r="T67" s="44" t="s">
        <v>98</v>
      </c>
      <c r="U67" s="44"/>
      <c r="V67" s="44"/>
      <c r="W67" s="44">
        <v>10697</v>
      </c>
      <c r="X67" s="44">
        <v>5300</v>
      </c>
      <c r="Y67" s="52">
        <v>0.96</v>
      </c>
      <c r="Z67" s="44">
        <v>7.92</v>
      </c>
      <c r="AA67" s="44">
        <v>3.2</v>
      </c>
      <c r="AB67" s="44" t="s">
        <v>98</v>
      </c>
      <c r="AC67" s="52"/>
      <c r="AD67" s="44"/>
      <c r="AE67" s="52">
        <v>10716</v>
      </c>
      <c r="AF67" s="44">
        <v>7460</v>
      </c>
      <c r="AG67" s="44">
        <v>1.1200000000000001</v>
      </c>
      <c r="AH67" s="44">
        <v>7.69</v>
      </c>
      <c r="AI67" s="44">
        <v>2.96</v>
      </c>
      <c r="AJ67" s="44" t="s">
        <v>98</v>
      </c>
      <c r="AK67" s="44"/>
      <c r="AL67" s="44"/>
      <c r="AM67" s="44">
        <v>10708</v>
      </c>
      <c r="AN67" s="44">
        <v>10280</v>
      </c>
      <c r="AO67" s="44">
        <v>1.1100000000000001</v>
      </c>
      <c r="AP67" s="44">
        <v>7.78</v>
      </c>
      <c r="AQ67" s="44">
        <v>3.37</v>
      </c>
      <c r="AR67" s="44" t="s">
        <v>98</v>
      </c>
      <c r="AS67" s="44"/>
      <c r="AT67" s="52"/>
      <c r="AU67" s="44">
        <v>10379</v>
      </c>
      <c r="AV67" s="44">
        <v>7700</v>
      </c>
      <c r="AW67" s="44">
        <v>1.07</v>
      </c>
      <c r="AX67" s="44">
        <v>7.43</v>
      </c>
      <c r="AY67" s="44">
        <v>3.59</v>
      </c>
      <c r="AZ67" s="44" t="s">
        <v>86</v>
      </c>
      <c r="BA67" s="44"/>
      <c r="BB67" s="44"/>
      <c r="BC67" s="44">
        <v>10693</v>
      </c>
      <c r="BD67" s="44">
        <v>4740</v>
      </c>
      <c r="BE67" s="44">
        <v>1.05</v>
      </c>
      <c r="BF67" s="44">
        <v>7.66</v>
      </c>
      <c r="BG67" s="44">
        <v>3.57</v>
      </c>
      <c r="BH67" s="44" t="s">
        <v>98</v>
      </c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</row>
    <row r="68" spans="1:98" ht="15.75" customHeight="1">
      <c r="A68" s="43">
        <v>67</v>
      </c>
      <c r="B68" s="44">
        <v>776</v>
      </c>
      <c r="C68" s="44" t="s">
        <v>141</v>
      </c>
      <c r="D68" s="44">
        <v>5</v>
      </c>
      <c r="E68" s="44">
        <v>36060</v>
      </c>
      <c r="F68" s="44">
        <v>31200</v>
      </c>
      <c r="G68" s="44">
        <v>1.36</v>
      </c>
      <c r="H68" s="44">
        <v>7.57</v>
      </c>
      <c r="I68" s="44">
        <v>3.07</v>
      </c>
      <c r="J68" s="44">
        <v>19</v>
      </c>
      <c r="K68" s="44">
        <v>3</v>
      </c>
      <c r="L68" s="44">
        <v>2</v>
      </c>
      <c r="M68" s="44">
        <v>0</v>
      </c>
      <c r="N68" s="44" t="s">
        <v>111</v>
      </c>
      <c r="O68" s="44">
        <v>10744</v>
      </c>
      <c r="P68" s="44">
        <v>5080</v>
      </c>
      <c r="Q68" s="44">
        <v>1.35</v>
      </c>
      <c r="R68" s="44">
        <v>7.86</v>
      </c>
      <c r="S68" s="44">
        <v>3.91</v>
      </c>
      <c r="T68" s="44" t="s">
        <v>86</v>
      </c>
      <c r="U68" s="44"/>
      <c r="V68" s="44"/>
      <c r="W68" s="44">
        <v>10747</v>
      </c>
      <c r="X68" s="44">
        <v>4000</v>
      </c>
      <c r="Y68" s="52">
        <v>1.2</v>
      </c>
      <c r="Z68" s="44">
        <v>7.61</v>
      </c>
      <c r="AA68" s="44">
        <v>3.14</v>
      </c>
      <c r="AB68" s="44" t="s">
        <v>98</v>
      </c>
      <c r="AC68" s="52"/>
      <c r="AD68" s="44"/>
      <c r="AE68" s="52">
        <v>10749</v>
      </c>
      <c r="AF68" s="52">
        <v>9600</v>
      </c>
      <c r="AG68" s="44">
        <v>1.31</v>
      </c>
      <c r="AH68" s="44">
        <v>7.43</v>
      </c>
      <c r="AI68" s="44">
        <v>2.74</v>
      </c>
      <c r="AJ68" s="44" t="s">
        <v>86</v>
      </c>
      <c r="AK68" s="44"/>
      <c r="AL68" s="44"/>
      <c r="AM68" s="44">
        <v>10748</v>
      </c>
      <c r="AN68" s="44">
        <v>9760</v>
      </c>
      <c r="AO68" s="44">
        <v>1.62</v>
      </c>
      <c r="AP68" s="44">
        <v>7.45</v>
      </c>
      <c r="AQ68" s="44">
        <v>3.02</v>
      </c>
      <c r="AR68" s="44" t="s">
        <v>86</v>
      </c>
      <c r="AS68" s="44"/>
      <c r="AT68" s="52"/>
      <c r="AU68" s="44">
        <v>10699</v>
      </c>
      <c r="AV68" s="44">
        <v>7620</v>
      </c>
      <c r="AW68" s="44">
        <v>1.18</v>
      </c>
      <c r="AX68" s="44">
        <v>7.71</v>
      </c>
      <c r="AY68" s="44">
        <v>2.88</v>
      </c>
      <c r="AZ68" s="44" t="s">
        <v>98</v>
      </c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</row>
    <row r="69" spans="1:98" ht="15.75" customHeight="1">
      <c r="A69" s="43">
        <v>68</v>
      </c>
      <c r="B69" s="44">
        <v>777</v>
      </c>
      <c r="C69" s="44" t="s">
        <v>142</v>
      </c>
      <c r="D69" s="44">
        <v>6</v>
      </c>
      <c r="E69" s="44">
        <v>36840</v>
      </c>
      <c r="F69" s="44">
        <v>31200</v>
      </c>
      <c r="G69" s="44">
        <v>1.1200000000000001</v>
      </c>
      <c r="H69" s="44">
        <v>7.79</v>
      </c>
      <c r="I69" s="44">
        <v>3.54</v>
      </c>
      <c r="J69" s="44">
        <v>20</v>
      </c>
      <c r="K69" s="44">
        <v>3</v>
      </c>
      <c r="L69" s="44">
        <v>2</v>
      </c>
      <c r="M69" s="44">
        <v>1</v>
      </c>
      <c r="N69" s="44" t="s">
        <v>97</v>
      </c>
      <c r="O69" s="44">
        <v>10710</v>
      </c>
      <c r="P69" s="44">
        <v>4160</v>
      </c>
      <c r="Q69" s="44">
        <v>0.99</v>
      </c>
      <c r="R69" s="44">
        <v>7.64</v>
      </c>
      <c r="S69" s="44">
        <v>2.17</v>
      </c>
      <c r="T69" s="44" t="s">
        <v>98</v>
      </c>
      <c r="U69" s="44"/>
      <c r="V69" s="44"/>
      <c r="W69" s="44">
        <v>10712</v>
      </c>
      <c r="X69" s="44">
        <v>4440</v>
      </c>
      <c r="Y69" s="52">
        <v>1.1000000000000001</v>
      </c>
      <c r="Z69" s="44">
        <v>7.58</v>
      </c>
      <c r="AA69" s="44">
        <v>3.33</v>
      </c>
      <c r="AB69" s="44" t="s">
        <v>106</v>
      </c>
      <c r="AC69" s="52"/>
      <c r="AD69" s="44"/>
      <c r="AE69" s="52">
        <v>10730</v>
      </c>
      <c r="AF69" s="52">
        <v>7080</v>
      </c>
      <c r="AG69" s="44">
        <v>1.01</v>
      </c>
      <c r="AH69" s="44">
        <v>7.74</v>
      </c>
      <c r="AI69" s="44">
        <v>4.28</v>
      </c>
      <c r="AJ69" s="44" t="s">
        <v>86</v>
      </c>
      <c r="AK69" s="44"/>
      <c r="AL69" s="44"/>
      <c r="AM69" s="44">
        <v>10750</v>
      </c>
      <c r="AN69" s="44">
        <v>5020</v>
      </c>
      <c r="AO69" s="44">
        <v>1.32</v>
      </c>
      <c r="AP69" s="44">
        <v>7.92</v>
      </c>
      <c r="AQ69" s="44">
        <v>3.99</v>
      </c>
      <c r="AR69" s="44" t="s">
        <v>86</v>
      </c>
      <c r="AS69" s="44"/>
      <c r="AT69" s="52"/>
      <c r="AU69" s="44">
        <v>10752</v>
      </c>
      <c r="AV69" s="44">
        <v>8260</v>
      </c>
      <c r="AW69" s="44">
        <v>0.99</v>
      </c>
      <c r="AX69" s="44">
        <v>7.87</v>
      </c>
      <c r="AY69" s="44">
        <v>4.08</v>
      </c>
      <c r="AZ69" s="44" t="s">
        <v>98</v>
      </c>
      <c r="BA69" s="44"/>
      <c r="BB69" s="44"/>
      <c r="BC69" s="44">
        <v>10751</v>
      </c>
      <c r="BD69" s="44">
        <v>7880</v>
      </c>
      <c r="BE69" s="44">
        <v>1.3</v>
      </c>
      <c r="BF69" s="44">
        <v>7.91</v>
      </c>
      <c r="BG69" s="44">
        <v>2.81</v>
      </c>
      <c r="BH69" s="44" t="s">
        <v>86</v>
      </c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</row>
    <row r="70" spans="1:98" ht="15.75" customHeight="1">
      <c r="A70" s="43">
        <v>69</v>
      </c>
      <c r="B70" s="44">
        <v>778</v>
      </c>
      <c r="C70" s="44" t="s">
        <v>143</v>
      </c>
      <c r="D70" s="44">
        <v>5</v>
      </c>
      <c r="E70" s="44">
        <v>35840</v>
      </c>
      <c r="F70" s="44">
        <v>31200</v>
      </c>
      <c r="G70" s="44">
        <v>1.18</v>
      </c>
      <c r="H70" s="44">
        <v>7.78</v>
      </c>
      <c r="I70" s="44">
        <v>3.78</v>
      </c>
      <c r="J70" s="44">
        <v>21</v>
      </c>
      <c r="K70" s="44">
        <v>2</v>
      </c>
      <c r="L70" s="44">
        <v>3</v>
      </c>
      <c r="M70" s="44">
        <v>0</v>
      </c>
      <c r="N70" s="44" t="s">
        <v>97</v>
      </c>
      <c r="O70" s="44">
        <v>10721</v>
      </c>
      <c r="P70" s="44">
        <v>7700</v>
      </c>
      <c r="Q70" s="44">
        <v>1.01</v>
      </c>
      <c r="R70" s="44">
        <v>7.82</v>
      </c>
      <c r="S70" s="44">
        <v>3.83</v>
      </c>
      <c r="T70" s="44" t="s">
        <v>98</v>
      </c>
      <c r="U70" s="44"/>
      <c r="V70" s="44"/>
      <c r="W70" s="44">
        <v>10704</v>
      </c>
      <c r="X70" s="44">
        <v>7820</v>
      </c>
      <c r="Y70" s="52">
        <v>0.96</v>
      </c>
      <c r="Z70" s="44">
        <v>7.77</v>
      </c>
      <c r="AA70" s="44">
        <v>3.45</v>
      </c>
      <c r="AB70" s="44" t="s">
        <v>98</v>
      </c>
      <c r="AC70" s="52"/>
      <c r="AD70" s="44"/>
      <c r="AE70" s="52">
        <v>10768</v>
      </c>
      <c r="AF70" s="52">
        <v>7880</v>
      </c>
      <c r="AG70" s="44">
        <v>1.22</v>
      </c>
      <c r="AH70" s="44">
        <v>7.83</v>
      </c>
      <c r="AI70" s="44">
        <v>4.0199999999999996</v>
      </c>
      <c r="AJ70" s="44" t="s">
        <v>86</v>
      </c>
      <c r="AK70" s="44"/>
      <c r="AL70" s="44"/>
      <c r="AM70" s="44">
        <v>10497</v>
      </c>
      <c r="AN70" s="44">
        <v>4100</v>
      </c>
      <c r="AO70" s="44">
        <v>1.34</v>
      </c>
      <c r="AP70" s="44">
        <v>7.75</v>
      </c>
      <c r="AQ70" s="44">
        <v>3.65</v>
      </c>
      <c r="AR70" s="44" t="s">
        <v>98</v>
      </c>
      <c r="AS70" s="44"/>
      <c r="AT70" s="52"/>
      <c r="AU70" s="44">
        <v>10771</v>
      </c>
      <c r="AV70" s="44">
        <v>8340</v>
      </c>
      <c r="AW70" s="44">
        <v>1.36</v>
      </c>
      <c r="AX70" s="44">
        <v>7.67</v>
      </c>
      <c r="AY70" s="44">
        <v>3.93</v>
      </c>
      <c r="AZ70" s="44" t="s">
        <v>86</v>
      </c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</row>
    <row r="71" spans="1:98" ht="15.75" customHeight="1">
      <c r="A71" s="43">
        <v>70</v>
      </c>
      <c r="B71" s="44">
        <v>780</v>
      </c>
      <c r="C71" s="45">
        <v>45299</v>
      </c>
      <c r="D71" s="44">
        <v>6</v>
      </c>
      <c r="E71" s="44">
        <v>27400</v>
      </c>
      <c r="F71" s="44">
        <v>23400</v>
      </c>
      <c r="G71" s="44">
        <v>1.07</v>
      </c>
      <c r="H71" s="44">
        <v>7.83</v>
      </c>
      <c r="I71" s="44">
        <v>3.96</v>
      </c>
      <c r="J71" s="44">
        <v>21</v>
      </c>
      <c r="K71" s="44">
        <v>3</v>
      </c>
      <c r="L71" s="44">
        <v>3</v>
      </c>
      <c r="M71" s="44">
        <v>0</v>
      </c>
      <c r="N71" s="44" t="s">
        <v>97</v>
      </c>
      <c r="O71" s="44">
        <v>10672</v>
      </c>
      <c r="P71" s="44">
        <v>3120</v>
      </c>
      <c r="Q71" s="44">
        <v>1.1100000000000001</v>
      </c>
      <c r="R71" s="44">
        <v>8.0299999999999994</v>
      </c>
      <c r="S71" s="44">
        <v>4.76</v>
      </c>
      <c r="T71" s="44" t="s">
        <v>98</v>
      </c>
      <c r="U71" s="44"/>
      <c r="V71" s="44"/>
      <c r="W71" s="44">
        <v>10746</v>
      </c>
      <c r="X71" s="44">
        <v>3320</v>
      </c>
      <c r="Y71" s="44">
        <v>1.1499999999999999</v>
      </c>
      <c r="Z71" s="44">
        <v>7.64</v>
      </c>
      <c r="AA71" s="44">
        <v>3.76</v>
      </c>
      <c r="AB71" s="44" t="s">
        <v>86</v>
      </c>
      <c r="AC71" s="52"/>
      <c r="AD71" s="44"/>
      <c r="AE71" s="44">
        <v>10793</v>
      </c>
      <c r="AF71" s="52">
        <v>8080</v>
      </c>
      <c r="AG71" s="52">
        <v>1.05</v>
      </c>
      <c r="AH71" s="44">
        <v>7.87</v>
      </c>
      <c r="AI71" s="44">
        <v>4.1900000000000004</v>
      </c>
      <c r="AJ71" s="44" t="s">
        <v>98</v>
      </c>
      <c r="AK71" s="44"/>
      <c r="AL71" s="44"/>
      <c r="AM71" s="44">
        <v>10805</v>
      </c>
      <c r="AN71" s="44">
        <v>5600</v>
      </c>
      <c r="AO71" s="44">
        <v>1.17</v>
      </c>
      <c r="AP71" s="44">
        <v>7.83</v>
      </c>
      <c r="AQ71" s="44">
        <v>3.92</v>
      </c>
      <c r="AR71" s="44" t="s">
        <v>86</v>
      </c>
      <c r="AS71" s="44"/>
      <c r="AT71" s="44"/>
      <c r="AU71" s="44">
        <v>10713</v>
      </c>
      <c r="AV71" s="44">
        <v>3460</v>
      </c>
      <c r="AW71" s="44">
        <v>1.03</v>
      </c>
      <c r="AX71" s="44">
        <v>7.83</v>
      </c>
      <c r="AY71" s="44">
        <v>4.33</v>
      </c>
      <c r="AZ71" s="44" t="s">
        <v>86</v>
      </c>
      <c r="BA71" s="44"/>
      <c r="BB71" s="44"/>
      <c r="BC71" s="44">
        <v>10726</v>
      </c>
      <c r="BD71" s="44">
        <v>3820</v>
      </c>
      <c r="BE71" s="44">
        <v>0.94</v>
      </c>
      <c r="BF71" s="44">
        <v>7.96</v>
      </c>
      <c r="BG71" s="44">
        <v>2.81</v>
      </c>
      <c r="BH71" s="44" t="s">
        <v>98</v>
      </c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</row>
    <row r="72" spans="1:98" ht="15.75" customHeight="1">
      <c r="A72" s="43">
        <v>71</v>
      </c>
      <c r="B72" s="44">
        <v>781</v>
      </c>
      <c r="C72" s="45">
        <v>45330</v>
      </c>
      <c r="D72" s="44">
        <v>6</v>
      </c>
      <c r="E72" s="44">
        <v>43780</v>
      </c>
      <c r="F72" s="44">
        <v>39000</v>
      </c>
      <c r="G72" s="44">
        <v>1.1100000000000001</v>
      </c>
      <c r="H72" s="44">
        <v>7.86</v>
      </c>
      <c r="I72" s="44">
        <v>3.96</v>
      </c>
      <c r="J72" s="44">
        <v>21</v>
      </c>
      <c r="K72" s="44">
        <v>5</v>
      </c>
      <c r="L72" s="44">
        <v>1</v>
      </c>
      <c r="M72" s="44">
        <v>0</v>
      </c>
      <c r="N72" s="44" t="s">
        <v>97</v>
      </c>
      <c r="O72" s="44">
        <v>10675</v>
      </c>
      <c r="P72" s="44">
        <v>6920</v>
      </c>
      <c r="Q72" s="44">
        <v>0.89</v>
      </c>
      <c r="R72" s="44">
        <v>7.78</v>
      </c>
      <c r="S72" s="44">
        <v>2.77</v>
      </c>
      <c r="T72" s="44" t="s">
        <v>86</v>
      </c>
      <c r="U72" s="44"/>
      <c r="V72" s="44"/>
      <c r="W72" s="44">
        <v>10753</v>
      </c>
      <c r="X72" s="44">
        <v>8560</v>
      </c>
      <c r="Y72" s="44">
        <v>0.95</v>
      </c>
      <c r="Z72" s="44">
        <v>7.86</v>
      </c>
      <c r="AA72" s="44">
        <v>4.49</v>
      </c>
      <c r="AB72" s="44" t="s">
        <v>98</v>
      </c>
      <c r="AC72" s="44"/>
      <c r="AD72" s="44"/>
      <c r="AE72" s="44">
        <v>10766</v>
      </c>
      <c r="AF72" s="52">
        <v>6560</v>
      </c>
      <c r="AG72" s="52">
        <v>1.5</v>
      </c>
      <c r="AH72" s="44">
        <v>7.93</v>
      </c>
      <c r="AI72" s="44">
        <v>4.4400000000000004</v>
      </c>
      <c r="AJ72" s="44" t="s">
        <v>86</v>
      </c>
      <c r="AK72" s="44"/>
      <c r="AL72" s="44"/>
      <c r="AM72" s="44">
        <v>10357</v>
      </c>
      <c r="AN72" s="44">
        <v>8500</v>
      </c>
      <c r="AO72" s="44">
        <v>1.17</v>
      </c>
      <c r="AP72" s="44">
        <v>7.84</v>
      </c>
      <c r="AQ72" s="44">
        <v>3.32</v>
      </c>
      <c r="AR72" s="44" t="s">
        <v>86</v>
      </c>
      <c r="AS72" s="44"/>
      <c r="AT72" s="44"/>
      <c r="AU72" s="44">
        <v>10765</v>
      </c>
      <c r="AV72" s="44">
        <v>7000</v>
      </c>
      <c r="AW72" s="44">
        <v>0.93</v>
      </c>
      <c r="AX72" s="44">
        <v>7.8</v>
      </c>
      <c r="AY72" s="44">
        <v>4.5599999999999996</v>
      </c>
      <c r="AZ72" s="44" t="s">
        <v>86</v>
      </c>
      <c r="BA72" s="44"/>
      <c r="BB72" s="44"/>
      <c r="BC72" s="44">
        <v>10745</v>
      </c>
      <c r="BD72" s="44">
        <v>6240</v>
      </c>
      <c r="BE72" s="44">
        <v>1.24</v>
      </c>
      <c r="BF72" s="44">
        <v>7.94</v>
      </c>
      <c r="BG72" s="44">
        <v>4.32</v>
      </c>
      <c r="BH72" s="44" t="s">
        <v>86</v>
      </c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</row>
    <row r="73" spans="1:98" ht="15.75" customHeight="1">
      <c r="A73" s="43">
        <v>72</v>
      </c>
      <c r="B73" s="44">
        <v>782</v>
      </c>
      <c r="C73" s="45">
        <v>45420</v>
      </c>
      <c r="D73" s="44">
        <v>6</v>
      </c>
      <c r="E73" s="44">
        <v>44040</v>
      </c>
      <c r="F73" s="44">
        <v>38800</v>
      </c>
      <c r="G73" s="44">
        <v>1.02</v>
      </c>
      <c r="H73" s="44">
        <v>7.84</v>
      </c>
      <c r="I73" s="44">
        <v>3.57</v>
      </c>
      <c r="J73" s="44">
        <v>20</v>
      </c>
      <c r="K73" s="44">
        <v>1</v>
      </c>
      <c r="L73" s="44">
        <v>5</v>
      </c>
      <c r="M73" s="44">
        <v>0</v>
      </c>
      <c r="N73" s="44" t="s">
        <v>97</v>
      </c>
      <c r="O73" s="44">
        <v>10641</v>
      </c>
      <c r="P73" s="44">
        <v>6580</v>
      </c>
      <c r="Q73" s="44">
        <v>1.03</v>
      </c>
      <c r="R73" s="44">
        <v>7.6</v>
      </c>
      <c r="S73" s="44">
        <v>3.23</v>
      </c>
      <c r="T73" s="44" t="s">
        <v>98</v>
      </c>
      <c r="U73" s="44"/>
      <c r="V73" s="44"/>
      <c r="W73" s="44">
        <v>10794</v>
      </c>
      <c r="X73" s="44">
        <v>9160</v>
      </c>
      <c r="Y73" s="44">
        <v>1.06</v>
      </c>
      <c r="Z73" s="44">
        <v>7.87</v>
      </c>
      <c r="AA73" s="44">
        <v>4.17</v>
      </c>
      <c r="AB73" s="44" t="s">
        <v>98</v>
      </c>
      <c r="AC73" s="44"/>
      <c r="AD73" s="44"/>
      <c r="AE73" s="44">
        <v>10727</v>
      </c>
      <c r="AF73" s="52">
        <v>7420</v>
      </c>
      <c r="AG73" s="52">
        <v>0.96</v>
      </c>
      <c r="AH73" s="44">
        <v>7.97</v>
      </c>
      <c r="AI73" s="44">
        <v>2.2999999999999998</v>
      </c>
      <c r="AJ73" s="44" t="s">
        <v>98</v>
      </c>
      <c r="AK73" s="44"/>
      <c r="AL73" s="44"/>
      <c r="AM73" s="44">
        <v>10827</v>
      </c>
      <c r="AN73" s="44">
        <v>5580</v>
      </c>
      <c r="AO73" s="44">
        <v>1.1299999999999999</v>
      </c>
      <c r="AP73" s="44">
        <v>7.73</v>
      </c>
      <c r="AQ73" s="44">
        <v>3.89</v>
      </c>
      <c r="AR73" s="44" t="s">
        <v>86</v>
      </c>
      <c r="AS73" s="44"/>
      <c r="AT73" s="44"/>
      <c r="AU73" s="44">
        <v>10692</v>
      </c>
      <c r="AV73" s="44">
        <v>8240</v>
      </c>
      <c r="AW73" s="44">
        <v>0.96</v>
      </c>
      <c r="AX73" s="44">
        <v>7.85</v>
      </c>
      <c r="AY73" s="44">
        <v>3.59</v>
      </c>
      <c r="AZ73" s="44" t="s">
        <v>98</v>
      </c>
      <c r="BA73" s="44"/>
      <c r="BB73" s="44"/>
      <c r="BC73" s="44">
        <v>10802</v>
      </c>
      <c r="BD73" s="44">
        <v>7060</v>
      </c>
      <c r="BE73" s="44">
        <v>0.97</v>
      </c>
      <c r="BF73" s="44">
        <v>7.98</v>
      </c>
      <c r="BG73" s="44">
        <v>4.1399999999999997</v>
      </c>
      <c r="BH73" s="44" t="s">
        <v>98</v>
      </c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</row>
    <row r="74" spans="1:98" ht="15.75" customHeight="1">
      <c r="A74" s="43">
        <v>73</v>
      </c>
      <c r="B74" s="44">
        <v>783</v>
      </c>
      <c r="C74" s="45">
        <v>45451</v>
      </c>
      <c r="D74" s="44">
        <v>5</v>
      </c>
      <c r="E74" s="44">
        <v>36100</v>
      </c>
      <c r="F74" s="44">
        <v>31200</v>
      </c>
      <c r="G74" s="44">
        <v>1.1399999999999999</v>
      </c>
      <c r="H74" s="44">
        <v>7.78</v>
      </c>
      <c r="I74" s="44">
        <v>3.53</v>
      </c>
      <c r="J74" s="44">
        <v>20</v>
      </c>
      <c r="K74" s="44">
        <v>3</v>
      </c>
      <c r="L74" s="44">
        <v>2</v>
      </c>
      <c r="M74" s="44">
        <v>0</v>
      </c>
      <c r="N74" s="44" t="s">
        <v>97</v>
      </c>
      <c r="O74" s="44">
        <v>10824</v>
      </c>
      <c r="P74" s="44">
        <v>9160</v>
      </c>
      <c r="Q74" s="44">
        <v>0.97</v>
      </c>
      <c r="R74" s="44">
        <v>7.81</v>
      </c>
      <c r="S74" s="44">
        <v>3.54</v>
      </c>
      <c r="T74" s="44" t="s">
        <v>98</v>
      </c>
      <c r="U74" s="44"/>
      <c r="V74" s="44"/>
      <c r="W74" s="44">
        <v>10770</v>
      </c>
      <c r="X74" s="44">
        <v>4200</v>
      </c>
      <c r="Y74" s="44">
        <v>1.65</v>
      </c>
      <c r="Z74" s="44">
        <v>7.62</v>
      </c>
      <c r="AA74" s="44">
        <v>3.87</v>
      </c>
      <c r="AB74" s="44" t="s">
        <v>86</v>
      </c>
      <c r="AC74" s="44"/>
      <c r="AD74" s="44"/>
      <c r="AE74" s="44">
        <v>10820</v>
      </c>
      <c r="AF74" s="52">
        <v>7460</v>
      </c>
      <c r="AG74" s="52">
        <v>1.22</v>
      </c>
      <c r="AH74" s="44">
        <v>7.79</v>
      </c>
      <c r="AI74" s="44">
        <v>3.43</v>
      </c>
      <c r="AJ74" s="44" t="s">
        <v>86</v>
      </c>
      <c r="AK74" s="44"/>
      <c r="AL74" s="44"/>
      <c r="AM74" s="44">
        <v>10818</v>
      </c>
      <c r="AN74" s="44">
        <v>7180</v>
      </c>
      <c r="AO74" s="44">
        <v>1.03</v>
      </c>
      <c r="AP74" s="44">
        <v>7.82</v>
      </c>
      <c r="AQ74" s="44">
        <v>3.77</v>
      </c>
      <c r="AR74" s="44" t="s">
        <v>98</v>
      </c>
      <c r="AS74" s="44"/>
      <c r="AT74" s="44"/>
      <c r="AU74" s="44">
        <v>10822</v>
      </c>
      <c r="AV74" s="44">
        <v>8100</v>
      </c>
      <c r="AW74" s="44">
        <v>1.1399999999999999</v>
      </c>
      <c r="AX74" s="44">
        <v>7.79</v>
      </c>
      <c r="AY74" s="44">
        <v>3.24</v>
      </c>
      <c r="AZ74" s="44" t="s">
        <v>86</v>
      </c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</row>
    <row r="75" spans="1:98" ht="15.75" customHeight="1">
      <c r="A75" s="43">
        <v>74</v>
      </c>
      <c r="B75" s="44">
        <v>786</v>
      </c>
      <c r="C75" s="45">
        <v>45634</v>
      </c>
      <c r="D75" s="44">
        <v>6</v>
      </c>
      <c r="E75" s="44">
        <v>52100</v>
      </c>
      <c r="F75" s="44">
        <v>46200</v>
      </c>
      <c r="G75" s="44">
        <v>1.1599999999999999</v>
      </c>
      <c r="H75" s="44">
        <v>7.75</v>
      </c>
      <c r="I75" s="44">
        <v>3.23</v>
      </c>
      <c r="J75" s="44">
        <v>19</v>
      </c>
      <c r="K75" s="44">
        <v>3</v>
      </c>
      <c r="L75" s="44">
        <v>3</v>
      </c>
      <c r="M75" s="44">
        <v>0</v>
      </c>
      <c r="N75" s="44" t="s">
        <v>111</v>
      </c>
      <c r="O75" s="44">
        <v>10892</v>
      </c>
      <c r="P75" s="44">
        <v>11600</v>
      </c>
      <c r="Q75" s="44">
        <v>0.91</v>
      </c>
      <c r="R75" s="44">
        <v>7.77</v>
      </c>
      <c r="S75" s="44">
        <v>3.19</v>
      </c>
      <c r="T75" s="44" t="s">
        <v>98</v>
      </c>
      <c r="U75" s="44"/>
      <c r="V75" s="44"/>
      <c r="W75" s="44">
        <v>10893</v>
      </c>
      <c r="X75" s="44">
        <v>11100</v>
      </c>
      <c r="Y75" s="44">
        <v>1.26</v>
      </c>
      <c r="Z75" s="44">
        <v>7.8</v>
      </c>
      <c r="AA75" s="44">
        <v>3.93</v>
      </c>
      <c r="AB75" s="44" t="s">
        <v>86</v>
      </c>
      <c r="AC75" s="44"/>
      <c r="AD75" s="44"/>
      <c r="AE75" s="44">
        <v>10879</v>
      </c>
      <c r="AF75" s="52">
        <v>7660</v>
      </c>
      <c r="AG75" s="52">
        <v>1.37</v>
      </c>
      <c r="AH75" s="44">
        <v>7.58</v>
      </c>
      <c r="AI75" s="44">
        <v>2.5099999999999998</v>
      </c>
      <c r="AJ75" s="44" t="s">
        <v>86</v>
      </c>
      <c r="AK75" s="44"/>
      <c r="AL75" s="44"/>
      <c r="AM75" s="44">
        <v>10880</v>
      </c>
      <c r="AN75" s="44">
        <v>6460</v>
      </c>
      <c r="AO75" s="44">
        <v>1.1200000000000001</v>
      </c>
      <c r="AP75" s="44">
        <v>7.72</v>
      </c>
      <c r="AQ75" s="44">
        <v>3.18</v>
      </c>
      <c r="AR75" s="44" t="s">
        <v>98</v>
      </c>
      <c r="AS75" s="44"/>
      <c r="AT75" s="44"/>
      <c r="AU75" s="44">
        <v>10870</v>
      </c>
      <c r="AV75" s="44">
        <v>9540</v>
      </c>
      <c r="AW75" s="44">
        <v>1.21</v>
      </c>
      <c r="AX75" s="44">
        <v>7.83</v>
      </c>
      <c r="AY75" s="44">
        <v>3.14</v>
      </c>
      <c r="AZ75" s="44" t="s">
        <v>86</v>
      </c>
      <c r="BA75" s="44"/>
      <c r="BB75" s="44"/>
      <c r="BC75" s="44">
        <v>10877</v>
      </c>
      <c r="BD75" s="44">
        <v>5740</v>
      </c>
      <c r="BE75" s="44">
        <v>1.06</v>
      </c>
      <c r="BF75" s="44">
        <v>7.87</v>
      </c>
      <c r="BG75" s="44">
        <v>3.2</v>
      </c>
      <c r="BH75" s="44" t="s">
        <v>98</v>
      </c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</row>
    <row r="76" spans="1:98" ht="15.75" customHeight="1">
      <c r="A76" s="43">
        <v>75</v>
      </c>
      <c r="B76" s="44">
        <v>784</v>
      </c>
      <c r="C76" s="45">
        <v>45481</v>
      </c>
      <c r="D76" s="44">
        <v>5</v>
      </c>
      <c r="E76" s="44">
        <v>36340</v>
      </c>
      <c r="F76" s="44">
        <v>31200</v>
      </c>
      <c r="G76" s="44">
        <v>1</v>
      </c>
      <c r="H76" s="44">
        <v>7.81</v>
      </c>
      <c r="I76" s="44">
        <v>3.67</v>
      </c>
      <c r="J76" s="44">
        <v>20</v>
      </c>
      <c r="K76" s="44">
        <v>1</v>
      </c>
      <c r="L76" s="44">
        <v>4</v>
      </c>
      <c r="M76" s="44">
        <v>0</v>
      </c>
      <c r="N76" s="44" t="s">
        <v>97</v>
      </c>
      <c r="O76" s="44">
        <v>10764</v>
      </c>
      <c r="P76" s="44">
        <v>8480</v>
      </c>
      <c r="Q76" s="44">
        <v>0.95</v>
      </c>
      <c r="R76" s="44">
        <v>7.73</v>
      </c>
      <c r="S76" s="44">
        <v>4.2300000000000004</v>
      </c>
      <c r="T76" s="44" t="s">
        <v>86</v>
      </c>
      <c r="U76" s="44"/>
      <c r="V76" s="44"/>
      <c r="W76" s="44">
        <v>10616</v>
      </c>
      <c r="X76" s="44">
        <v>8220</v>
      </c>
      <c r="Y76" s="44">
        <v>1.0900000000000001</v>
      </c>
      <c r="Z76" s="44">
        <v>7.83</v>
      </c>
      <c r="AA76" s="44">
        <v>3.16</v>
      </c>
      <c r="AB76" s="44" t="s">
        <v>98</v>
      </c>
      <c r="AC76" s="44"/>
      <c r="AD76" s="44"/>
      <c r="AE76" s="44">
        <v>10801</v>
      </c>
      <c r="AF76" s="52">
        <v>6700</v>
      </c>
      <c r="AG76" s="44">
        <v>1.0900000000000001</v>
      </c>
      <c r="AH76" s="44">
        <v>7.71</v>
      </c>
      <c r="AI76" s="44">
        <v>3.22</v>
      </c>
      <c r="AJ76" s="44" t="s">
        <v>98</v>
      </c>
      <c r="AK76" s="44"/>
      <c r="AL76" s="44"/>
      <c r="AM76" s="44">
        <v>10804</v>
      </c>
      <c r="AN76" s="44">
        <v>6020</v>
      </c>
      <c r="AO76" s="44">
        <v>0.92</v>
      </c>
      <c r="AP76" s="44">
        <v>7.93</v>
      </c>
      <c r="AQ76" s="44">
        <v>3.99</v>
      </c>
      <c r="AR76" s="44" t="s">
        <v>98</v>
      </c>
      <c r="AS76" s="44"/>
      <c r="AT76" s="44"/>
      <c r="AU76" s="44">
        <v>10791</v>
      </c>
      <c r="AV76" s="44">
        <v>6920</v>
      </c>
      <c r="AW76" s="44">
        <v>1.02</v>
      </c>
      <c r="AX76" s="44">
        <v>7.85</v>
      </c>
      <c r="AY76" s="44">
        <v>3.84</v>
      </c>
      <c r="AZ76" s="44" t="s">
        <v>98</v>
      </c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</row>
    <row r="77" spans="1:98" ht="15.75" customHeight="1">
      <c r="A77" s="43">
        <v>76</v>
      </c>
      <c r="B77" s="44">
        <v>789</v>
      </c>
      <c r="C77" s="44" t="s">
        <v>144</v>
      </c>
      <c r="D77" s="44">
        <v>6</v>
      </c>
      <c r="E77" s="44">
        <v>27540</v>
      </c>
      <c r="F77" s="44">
        <v>23400</v>
      </c>
      <c r="G77" s="44">
        <v>1.2</v>
      </c>
      <c r="H77" s="44">
        <v>7.73</v>
      </c>
      <c r="I77" s="44">
        <v>3.68</v>
      </c>
      <c r="J77" s="44">
        <v>20</v>
      </c>
      <c r="K77" s="44">
        <v>5</v>
      </c>
      <c r="L77" s="44">
        <v>1</v>
      </c>
      <c r="M77" s="44">
        <v>0</v>
      </c>
      <c r="N77" s="44" t="s">
        <v>97</v>
      </c>
      <c r="O77" s="44">
        <v>10905</v>
      </c>
      <c r="P77" s="44">
        <v>1960</v>
      </c>
      <c r="Q77" s="44">
        <v>1.04</v>
      </c>
      <c r="R77" s="44">
        <v>7.58</v>
      </c>
      <c r="S77" s="44">
        <v>3.25</v>
      </c>
      <c r="T77" s="44" t="s">
        <v>98</v>
      </c>
      <c r="U77" s="44"/>
      <c r="V77" s="44"/>
      <c r="W77" s="44">
        <v>10906</v>
      </c>
      <c r="X77" s="44">
        <v>3380</v>
      </c>
      <c r="Y77" s="44">
        <v>1.2</v>
      </c>
      <c r="Z77" s="44">
        <v>7.73</v>
      </c>
      <c r="AA77" s="44">
        <v>3.68</v>
      </c>
      <c r="AB77" s="44" t="s">
        <v>86</v>
      </c>
      <c r="AC77" s="44"/>
      <c r="AD77" s="44"/>
      <c r="AE77" s="44">
        <v>10860</v>
      </c>
      <c r="AF77" s="1">
        <v>3880</v>
      </c>
      <c r="AG77" s="44">
        <v>1.25</v>
      </c>
      <c r="AH77" s="44">
        <v>7.65</v>
      </c>
      <c r="AI77" s="44">
        <v>3.81</v>
      </c>
      <c r="AJ77" s="44" t="s">
        <v>86</v>
      </c>
      <c r="AK77" s="44"/>
      <c r="AL77" s="44"/>
      <c r="AM77" s="44">
        <v>10920</v>
      </c>
      <c r="AN77" s="44">
        <v>7100</v>
      </c>
      <c r="AO77" s="44">
        <v>1.23</v>
      </c>
      <c r="AP77" s="44">
        <v>7.83</v>
      </c>
      <c r="AQ77" s="44">
        <v>3.87</v>
      </c>
      <c r="AR77" s="44" t="s">
        <v>86</v>
      </c>
      <c r="AS77" s="44"/>
      <c r="AT77" s="44"/>
      <c r="AU77" s="44">
        <v>10767</v>
      </c>
      <c r="AV77" s="44">
        <v>6820</v>
      </c>
      <c r="AW77" s="44">
        <v>1.31</v>
      </c>
      <c r="AX77" s="44">
        <v>7.95</v>
      </c>
      <c r="AY77" s="44">
        <v>4.57</v>
      </c>
      <c r="AZ77" s="44" t="s">
        <v>86</v>
      </c>
      <c r="BA77" s="44"/>
      <c r="BB77" s="44"/>
      <c r="BC77" s="44">
        <v>10849</v>
      </c>
      <c r="BD77" s="44">
        <v>4400</v>
      </c>
      <c r="BE77" s="44">
        <v>1.1499999999999999</v>
      </c>
      <c r="BF77" s="44">
        <v>7.44</v>
      </c>
      <c r="BG77" s="44">
        <v>2.4500000000000002</v>
      </c>
      <c r="BH77" s="44" t="s">
        <v>86</v>
      </c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</row>
    <row r="78" spans="1:98" ht="15.75" customHeight="1">
      <c r="A78" s="43">
        <v>77</v>
      </c>
      <c r="B78" s="44">
        <v>787</v>
      </c>
      <c r="C78" s="44" t="s">
        <v>145</v>
      </c>
      <c r="D78" s="44">
        <v>6</v>
      </c>
      <c r="E78" s="44">
        <v>43900</v>
      </c>
      <c r="F78" s="44">
        <v>39000</v>
      </c>
      <c r="G78" s="44">
        <v>1.1499999999999999</v>
      </c>
      <c r="H78" s="44">
        <v>7.83</v>
      </c>
      <c r="I78" s="44">
        <v>3.71</v>
      </c>
      <c r="J78" s="44">
        <v>21</v>
      </c>
      <c r="K78" s="44">
        <v>6</v>
      </c>
      <c r="L78" s="44">
        <v>0</v>
      </c>
      <c r="M78" s="44">
        <v>0</v>
      </c>
      <c r="N78" s="44" t="s">
        <v>97</v>
      </c>
      <c r="O78" s="44">
        <v>10903</v>
      </c>
      <c r="P78" s="44">
        <v>7660</v>
      </c>
      <c r="Q78" s="44">
        <v>1.08</v>
      </c>
      <c r="R78" s="44">
        <v>7.73</v>
      </c>
      <c r="S78" s="44">
        <v>3.06</v>
      </c>
      <c r="T78" s="44" t="s">
        <v>86</v>
      </c>
      <c r="U78" s="44"/>
      <c r="V78" s="44"/>
      <c r="W78" s="44">
        <v>10894</v>
      </c>
      <c r="X78" s="44">
        <v>6320</v>
      </c>
      <c r="Y78" s="44">
        <v>0.96</v>
      </c>
      <c r="Z78" s="44">
        <v>7.94</v>
      </c>
      <c r="AA78" s="44">
        <v>3.17</v>
      </c>
      <c r="AB78" s="44" t="s">
        <v>86</v>
      </c>
      <c r="AC78" s="44"/>
      <c r="AD78" s="44"/>
      <c r="AE78" s="44">
        <v>10910</v>
      </c>
      <c r="AF78" s="1">
        <v>9940</v>
      </c>
      <c r="AG78" s="44">
        <v>1.0900000000000001</v>
      </c>
      <c r="AH78" s="44">
        <v>7.73</v>
      </c>
      <c r="AI78" s="44">
        <v>5.03</v>
      </c>
      <c r="AJ78" s="44" t="s">
        <v>86</v>
      </c>
      <c r="AK78" s="44"/>
      <c r="AL78" s="44"/>
      <c r="AM78" s="44">
        <v>10902</v>
      </c>
      <c r="AN78" s="44">
        <v>7980</v>
      </c>
      <c r="AO78" s="44">
        <v>1.54</v>
      </c>
      <c r="AP78" s="44">
        <v>7.72</v>
      </c>
      <c r="AQ78" s="44">
        <v>3.7</v>
      </c>
      <c r="AR78" s="44" t="s">
        <v>86</v>
      </c>
      <c r="AS78" s="44"/>
      <c r="AT78" s="44"/>
      <c r="AU78" s="44">
        <v>10719</v>
      </c>
      <c r="AV78" s="44">
        <v>5480</v>
      </c>
      <c r="AW78" s="44">
        <v>1.06</v>
      </c>
      <c r="AX78" s="44">
        <v>7.75</v>
      </c>
      <c r="AY78" s="44">
        <v>3.16</v>
      </c>
      <c r="AZ78" s="44" t="s">
        <v>86</v>
      </c>
      <c r="BA78" s="44"/>
      <c r="BB78" s="44"/>
      <c r="BC78" s="44">
        <v>10919</v>
      </c>
      <c r="BD78" s="44">
        <v>6520</v>
      </c>
      <c r="BE78" s="44">
        <v>1.0900000000000001</v>
      </c>
      <c r="BF78" s="44">
        <v>7.89</v>
      </c>
      <c r="BG78" s="44">
        <v>3.39</v>
      </c>
      <c r="BH78" s="44" t="s">
        <v>86</v>
      </c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</row>
    <row r="79" spans="1:98" ht="15.75" customHeight="1">
      <c r="A79" s="43">
        <v>78</v>
      </c>
      <c r="B79" s="44">
        <v>791</v>
      </c>
      <c r="C79" s="44" t="s">
        <v>146</v>
      </c>
      <c r="D79" s="44">
        <v>6</v>
      </c>
      <c r="E79" s="44">
        <v>44200</v>
      </c>
      <c r="F79" s="44">
        <v>39000</v>
      </c>
      <c r="G79" s="44">
        <v>1.1200000000000001</v>
      </c>
      <c r="H79" s="44">
        <v>7.74</v>
      </c>
      <c r="I79" s="44">
        <v>3.05</v>
      </c>
      <c r="J79" s="44">
        <v>21</v>
      </c>
      <c r="K79" s="44">
        <v>3</v>
      </c>
      <c r="L79" s="44">
        <v>3</v>
      </c>
      <c r="M79" s="44">
        <v>0</v>
      </c>
      <c r="N79" s="44" t="s">
        <v>97</v>
      </c>
      <c r="O79" s="44">
        <v>10912</v>
      </c>
      <c r="P79" s="44">
        <v>10080</v>
      </c>
      <c r="Q79" s="44">
        <v>1.1200000000000001</v>
      </c>
      <c r="R79" s="44">
        <v>7.88</v>
      </c>
      <c r="S79" s="44">
        <v>4.96</v>
      </c>
      <c r="T79" s="44" t="s">
        <v>86</v>
      </c>
      <c r="U79" s="44"/>
      <c r="V79" s="44"/>
      <c r="W79" s="44">
        <v>10819</v>
      </c>
      <c r="X79" s="44">
        <v>8400</v>
      </c>
      <c r="Y79" s="44">
        <v>1.54</v>
      </c>
      <c r="Z79" s="44">
        <v>7.71</v>
      </c>
      <c r="AA79" s="44">
        <v>3.56</v>
      </c>
      <c r="AB79" s="44" t="s">
        <v>86</v>
      </c>
      <c r="AC79" s="44"/>
      <c r="AD79" s="44"/>
      <c r="AE79" s="44">
        <v>10707</v>
      </c>
      <c r="AF79" s="1">
        <v>4740</v>
      </c>
      <c r="AG79" s="44">
        <v>1.1299999999999999</v>
      </c>
      <c r="AH79" s="44">
        <v>7.78</v>
      </c>
      <c r="AI79" s="44">
        <v>3.55</v>
      </c>
      <c r="AJ79" s="44" t="s">
        <v>98</v>
      </c>
      <c r="AK79" s="44"/>
      <c r="AL79" s="44"/>
      <c r="AM79" s="44">
        <v>10643</v>
      </c>
      <c r="AN79" s="44">
        <v>6880</v>
      </c>
      <c r="AO79" s="44">
        <v>0.93</v>
      </c>
      <c r="AP79" s="44">
        <v>7.48</v>
      </c>
      <c r="AQ79" s="44">
        <v>3.39</v>
      </c>
      <c r="AR79" s="44" t="s">
        <v>98</v>
      </c>
      <c r="AS79" s="44"/>
      <c r="AT79" s="44"/>
      <c r="AU79" s="44">
        <v>10907</v>
      </c>
      <c r="AV79" s="44">
        <v>7040</v>
      </c>
      <c r="AW79" s="44">
        <v>1</v>
      </c>
      <c r="AX79" s="44">
        <v>7.84</v>
      </c>
      <c r="AY79" s="44">
        <v>2.93</v>
      </c>
      <c r="AZ79" s="44" t="s">
        <v>86</v>
      </c>
      <c r="BA79" s="44"/>
      <c r="BB79" s="44"/>
      <c r="BC79" s="44">
        <v>10826</v>
      </c>
      <c r="BD79" s="44">
        <v>7060</v>
      </c>
      <c r="BE79" s="44">
        <v>0.88</v>
      </c>
      <c r="BF79" s="44">
        <v>7.73</v>
      </c>
      <c r="BG79" s="44">
        <v>4.1500000000000004</v>
      </c>
      <c r="BH79" s="44" t="s">
        <v>98</v>
      </c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</row>
    <row r="80" spans="1:98" ht="15.75" customHeight="1">
      <c r="A80" s="43">
        <v>79</v>
      </c>
      <c r="B80" s="44">
        <v>792</v>
      </c>
      <c r="C80" s="44" t="s">
        <v>147</v>
      </c>
      <c r="D80" s="44">
        <v>5</v>
      </c>
      <c r="E80" s="44">
        <v>36380</v>
      </c>
      <c r="F80" s="44">
        <v>35100</v>
      </c>
      <c r="G80" s="44">
        <v>1.01</v>
      </c>
      <c r="H80" s="44">
        <v>7.81</v>
      </c>
      <c r="I80" s="44">
        <v>3.74</v>
      </c>
      <c r="J80" s="44">
        <v>20</v>
      </c>
      <c r="K80" s="44">
        <v>2</v>
      </c>
      <c r="L80" s="44">
        <v>3</v>
      </c>
      <c r="M80" s="44">
        <v>0</v>
      </c>
      <c r="N80" s="44" t="s">
        <v>97</v>
      </c>
      <c r="O80" s="44">
        <v>10698</v>
      </c>
      <c r="P80" s="44">
        <v>8540</v>
      </c>
      <c r="Q80" s="44">
        <v>0.92</v>
      </c>
      <c r="R80" s="44">
        <v>7.93</v>
      </c>
      <c r="S80" s="44">
        <v>3.49</v>
      </c>
      <c r="T80" s="44" t="s">
        <v>98</v>
      </c>
      <c r="U80" s="44"/>
      <c r="V80" s="44"/>
      <c r="W80" s="44">
        <v>10640</v>
      </c>
      <c r="X80" s="44">
        <v>6680</v>
      </c>
      <c r="Y80" s="44">
        <v>1.08</v>
      </c>
      <c r="Z80" s="44">
        <v>7.58</v>
      </c>
      <c r="AA80" s="44">
        <v>3.31</v>
      </c>
      <c r="AB80" s="44" t="s">
        <v>86</v>
      </c>
      <c r="AC80" s="44"/>
      <c r="AD80" s="44"/>
      <c r="AE80" s="44">
        <v>10878</v>
      </c>
      <c r="AF80" s="1">
        <v>5440</v>
      </c>
      <c r="AG80" s="44">
        <v>1.02</v>
      </c>
      <c r="AH80" s="44">
        <v>7.87</v>
      </c>
      <c r="AI80" s="44">
        <v>3.59</v>
      </c>
      <c r="AJ80" s="44" t="s">
        <v>98</v>
      </c>
      <c r="AK80" s="44"/>
      <c r="AL80" s="44"/>
      <c r="AM80" s="44">
        <v>10852</v>
      </c>
      <c r="AN80" s="44">
        <v>6380</v>
      </c>
      <c r="AO80" s="44">
        <v>0.93</v>
      </c>
      <c r="AP80" s="44">
        <v>7.8</v>
      </c>
      <c r="AQ80" s="44">
        <v>3.26</v>
      </c>
      <c r="AR80" s="44" t="s">
        <v>98</v>
      </c>
      <c r="AS80" s="44"/>
      <c r="AT80" s="44"/>
      <c r="AU80" s="44">
        <v>10913</v>
      </c>
      <c r="AV80" s="44">
        <v>9340</v>
      </c>
      <c r="AW80" s="44">
        <v>1.06</v>
      </c>
      <c r="AX80" s="44">
        <v>7.89</v>
      </c>
      <c r="AY80" s="44">
        <v>4.6900000000000004</v>
      </c>
      <c r="AZ80" s="44" t="s">
        <v>86</v>
      </c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</row>
    <row r="81" spans="1:98" ht="15.75" customHeight="1">
      <c r="A81" s="43">
        <v>80</v>
      </c>
      <c r="B81" s="44">
        <v>793</v>
      </c>
      <c r="C81" s="44" t="s">
        <v>148</v>
      </c>
      <c r="D81" s="44">
        <v>5</v>
      </c>
      <c r="E81" s="44">
        <v>36240</v>
      </c>
      <c r="F81" s="44">
        <v>31200</v>
      </c>
      <c r="G81" s="44">
        <v>1.06</v>
      </c>
      <c r="H81" s="44">
        <v>7.77</v>
      </c>
      <c r="I81" s="44">
        <v>4.04</v>
      </c>
      <c r="J81" s="44">
        <v>21</v>
      </c>
      <c r="K81" s="44">
        <v>4</v>
      </c>
      <c r="L81" s="44">
        <v>1</v>
      </c>
      <c r="M81" s="44">
        <v>0</v>
      </c>
      <c r="N81" s="44" t="s">
        <v>97</v>
      </c>
      <c r="O81" s="44">
        <v>10885</v>
      </c>
      <c r="P81" s="44">
        <v>3820</v>
      </c>
      <c r="Q81" s="44">
        <v>1.18</v>
      </c>
      <c r="R81" s="44">
        <v>7.76</v>
      </c>
      <c r="S81" s="44">
        <v>4.01</v>
      </c>
      <c r="T81" s="44" t="s">
        <v>86</v>
      </c>
      <c r="U81" s="44"/>
      <c r="V81" s="44"/>
      <c r="W81" s="44">
        <v>10908</v>
      </c>
      <c r="X81" s="44">
        <v>4500</v>
      </c>
      <c r="Y81" s="44">
        <v>0.98</v>
      </c>
      <c r="Z81" s="44">
        <v>7.58</v>
      </c>
      <c r="AA81" s="44">
        <v>2.87</v>
      </c>
      <c r="AB81" s="44" t="s">
        <v>86</v>
      </c>
      <c r="AC81" s="44"/>
      <c r="AD81" s="44"/>
      <c r="AE81" s="44">
        <v>10914</v>
      </c>
      <c r="AF81" s="1">
        <v>9880</v>
      </c>
      <c r="AG81" s="44">
        <v>1.02</v>
      </c>
      <c r="AH81" s="44">
        <v>7.59</v>
      </c>
      <c r="AI81" s="44">
        <v>4.66</v>
      </c>
      <c r="AJ81" s="44" t="s">
        <v>86</v>
      </c>
      <c r="AK81" s="44"/>
      <c r="AL81" s="44"/>
      <c r="AM81" s="44">
        <v>10961</v>
      </c>
      <c r="AN81" s="44">
        <v>7360</v>
      </c>
      <c r="AO81" s="44">
        <v>1.1200000000000001</v>
      </c>
      <c r="AP81" s="44">
        <v>7.88</v>
      </c>
      <c r="AQ81" s="44">
        <v>3.49</v>
      </c>
      <c r="AR81" s="44" t="s">
        <v>98</v>
      </c>
      <c r="AS81" s="44"/>
      <c r="AT81" s="44"/>
      <c r="AU81" s="44">
        <v>10963</v>
      </c>
      <c r="AV81" s="44">
        <v>10680</v>
      </c>
      <c r="AW81" s="44">
        <v>1.03</v>
      </c>
      <c r="AX81" s="44">
        <v>7.62</v>
      </c>
      <c r="AY81" s="44">
        <v>4.29</v>
      </c>
      <c r="AZ81" s="44" t="s">
        <v>86</v>
      </c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</row>
    <row r="82" spans="1:98" ht="15.75" customHeight="1">
      <c r="A82" s="43">
        <v>81</v>
      </c>
      <c r="B82" s="44">
        <v>794</v>
      </c>
      <c r="C82" s="44" t="s">
        <v>149</v>
      </c>
      <c r="D82" s="44">
        <v>5</v>
      </c>
      <c r="E82" s="44">
        <v>35960</v>
      </c>
      <c r="F82" s="44">
        <v>31000</v>
      </c>
      <c r="G82" s="44">
        <v>1.02</v>
      </c>
      <c r="H82" s="44">
        <v>7.85</v>
      </c>
      <c r="I82" s="44">
        <v>3.97</v>
      </c>
      <c r="J82" s="44">
        <v>21</v>
      </c>
      <c r="K82" s="44">
        <v>1</v>
      </c>
      <c r="L82" s="44">
        <v>3</v>
      </c>
      <c r="M82" s="44">
        <v>1</v>
      </c>
      <c r="N82" s="44" t="s">
        <v>97</v>
      </c>
      <c r="O82" s="44">
        <v>10978</v>
      </c>
      <c r="P82" s="44">
        <v>1220</v>
      </c>
      <c r="Q82" s="44">
        <v>0.9</v>
      </c>
      <c r="R82" s="44">
        <v>7.71</v>
      </c>
      <c r="S82" s="44">
        <v>3.73</v>
      </c>
      <c r="T82" s="44" t="s">
        <v>98</v>
      </c>
      <c r="U82" s="44"/>
      <c r="V82" s="44"/>
      <c r="W82" s="44">
        <v>10972</v>
      </c>
      <c r="X82" s="44">
        <v>9900</v>
      </c>
      <c r="Y82" s="44">
        <v>0.98</v>
      </c>
      <c r="Z82" s="44">
        <v>7.97</v>
      </c>
      <c r="AA82" s="44">
        <v>3.66</v>
      </c>
      <c r="AB82" s="44" t="s">
        <v>98</v>
      </c>
      <c r="AC82" s="44"/>
      <c r="AD82" s="44"/>
      <c r="AE82" s="44">
        <v>10854</v>
      </c>
      <c r="AF82" s="52">
        <v>7000</v>
      </c>
      <c r="AG82" s="44">
        <v>1.08</v>
      </c>
      <c r="AH82" s="44">
        <v>8.26</v>
      </c>
      <c r="AI82" s="44">
        <v>3.69</v>
      </c>
      <c r="AJ82" s="44" t="s">
        <v>106</v>
      </c>
      <c r="AK82" s="44"/>
      <c r="AL82" s="44"/>
      <c r="AM82" s="44">
        <v>10911</v>
      </c>
      <c r="AN82" s="44">
        <v>9520</v>
      </c>
      <c r="AO82" s="44">
        <v>1.1399999999999999</v>
      </c>
      <c r="AP82" s="44">
        <v>7.95</v>
      </c>
      <c r="AQ82" s="44">
        <v>5.13</v>
      </c>
      <c r="AR82" s="44" t="s">
        <v>86</v>
      </c>
      <c r="AS82" s="44"/>
      <c r="AT82" s="44"/>
      <c r="AU82" s="44">
        <v>10900</v>
      </c>
      <c r="AV82" s="44">
        <v>8320</v>
      </c>
      <c r="AW82" s="44">
        <v>1.02</v>
      </c>
      <c r="AX82" s="44">
        <v>7.88</v>
      </c>
      <c r="AY82" s="44">
        <v>3.52</v>
      </c>
      <c r="AZ82" s="44" t="s">
        <v>98</v>
      </c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</row>
    <row r="83" spans="1:98" ht="15.75" customHeight="1">
      <c r="A83" s="43">
        <v>82</v>
      </c>
      <c r="B83" s="44">
        <v>795</v>
      </c>
      <c r="C83" s="44" t="s">
        <v>150</v>
      </c>
      <c r="D83" s="44">
        <v>6</v>
      </c>
      <c r="E83" s="44">
        <v>38320</v>
      </c>
      <c r="F83" s="44">
        <v>33800</v>
      </c>
      <c r="G83" s="44">
        <v>1.28</v>
      </c>
      <c r="H83" s="44">
        <v>7.64</v>
      </c>
      <c r="I83" s="44">
        <v>3.64</v>
      </c>
      <c r="J83" s="44">
        <v>20</v>
      </c>
      <c r="K83" s="44">
        <v>4</v>
      </c>
      <c r="L83" s="44">
        <v>2</v>
      </c>
      <c r="M83" s="44">
        <v>0</v>
      </c>
      <c r="N83" s="44" t="s">
        <v>99</v>
      </c>
      <c r="O83" s="44">
        <v>10895</v>
      </c>
      <c r="P83" s="44">
        <v>7940</v>
      </c>
      <c r="Q83" s="44">
        <v>1.02</v>
      </c>
      <c r="R83" s="44">
        <v>7.05</v>
      </c>
      <c r="S83" s="44">
        <v>2.75</v>
      </c>
      <c r="T83" s="44" t="s">
        <v>98</v>
      </c>
      <c r="U83" s="44"/>
      <c r="V83" s="44"/>
      <c r="W83" s="44">
        <v>10897</v>
      </c>
      <c r="X83" s="44">
        <v>3360</v>
      </c>
      <c r="Y83" s="44">
        <v>1.37</v>
      </c>
      <c r="Z83" s="44">
        <v>7.59</v>
      </c>
      <c r="AA83" s="44">
        <v>5.94</v>
      </c>
      <c r="AB83" s="44" t="s">
        <v>98</v>
      </c>
      <c r="AC83" s="44"/>
      <c r="AD83" s="44"/>
      <c r="AE83" s="44">
        <v>10921</v>
      </c>
      <c r="AF83" s="52">
        <v>8000</v>
      </c>
      <c r="AG83" s="44">
        <v>1.33</v>
      </c>
      <c r="AH83" s="44">
        <v>8.01</v>
      </c>
      <c r="AI83" s="44">
        <v>3.04</v>
      </c>
      <c r="AJ83" s="44" t="s">
        <v>86</v>
      </c>
      <c r="AK83" s="44"/>
      <c r="AL83" s="44"/>
      <c r="AM83" s="44">
        <v>10951</v>
      </c>
      <c r="AN83" s="44">
        <v>7680</v>
      </c>
      <c r="AO83" s="44">
        <v>1.39</v>
      </c>
      <c r="AP83" s="44">
        <v>7.68</v>
      </c>
      <c r="AQ83" s="44">
        <v>3.72</v>
      </c>
      <c r="AR83" s="44" t="s">
        <v>86</v>
      </c>
      <c r="AS83" s="44"/>
      <c r="AT83" s="44"/>
      <c r="AU83" s="44">
        <v>10974</v>
      </c>
      <c r="AV83" s="44">
        <v>6260</v>
      </c>
      <c r="AW83" s="44">
        <v>1.3</v>
      </c>
      <c r="AX83" s="44">
        <v>7.5</v>
      </c>
      <c r="AY83" s="44">
        <v>3.06</v>
      </c>
      <c r="AZ83" s="44" t="s">
        <v>86</v>
      </c>
      <c r="BA83" s="44"/>
      <c r="BB83" s="44"/>
      <c r="BC83" s="44">
        <v>10979</v>
      </c>
      <c r="BD83" s="44">
        <v>5080</v>
      </c>
      <c r="BE83" s="44">
        <v>1.35</v>
      </c>
      <c r="BF83" s="44">
        <v>7.74</v>
      </c>
      <c r="BG83" s="44">
        <v>4.8600000000000003</v>
      </c>
      <c r="BH83" s="44" t="s">
        <v>86</v>
      </c>
      <c r="BI83" s="44"/>
      <c r="BJ83" s="44"/>
      <c r="BK83" s="49">
        <v>10981</v>
      </c>
      <c r="BL83" s="49">
        <v>6080</v>
      </c>
      <c r="BM83" s="49">
        <v>1.1000000000000001</v>
      </c>
      <c r="BN83" s="49">
        <v>7.03</v>
      </c>
      <c r="BO83" s="49">
        <v>2.44</v>
      </c>
      <c r="BP83" s="49" t="s">
        <v>86</v>
      </c>
      <c r="BQ83" s="49" t="s">
        <v>112</v>
      </c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</row>
    <row r="84" spans="1:98" ht="15.75" customHeight="1">
      <c r="A84" s="43">
        <v>83</v>
      </c>
      <c r="B84" s="44">
        <v>797</v>
      </c>
      <c r="C84" s="44" t="s">
        <v>151</v>
      </c>
      <c r="D84" s="44">
        <v>5</v>
      </c>
      <c r="E84" s="44">
        <v>27440</v>
      </c>
      <c r="F84" s="44">
        <v>23400</v>
      </c>
      <c r="G84" s="44">
        <v>1.01</v>
      </c>
      <c r="H84" s="44">
        <v>7.78</v>
      </c>
      <c r="I84" s="44">
        <v>3.95</v>
      </c>
      <c r="J84" s="44">
        <v>21</v>
      </c>
      <c r="K84" s="44">
        <v>1</v>
      </c>
      <c r="L84" s="44">
        <v>4</v>
      </c>
      <c r="M84" s="44">
        <v>0</v>
      </c>
      <c r="N84" s="44" t="s">
        <v>97</v>
      </c>
      <c r="O84" s="44">
        <v>10843</v>
      </c>
      <c r="P84" s="44">
        <v>3460</v>
      </c>
      <c r="Q84" s="44">
        <v>0.92</v>
      </c>
      <c r="R84" s="44">
        <v>7.82</v>
      </c>
      <c r="S84" s="44">
        <v>3.07</v>
      </c>
      <c r="T84" s="44" t="s">
        <v>98</v>
      </c>
      <c r="U84" s="44"/>
      <c r="V84" s="44"/>
      <c r="W84" s="44">
        <v>11033</v>
      </c>
      <c r="X84" s="44">
        <v>6060</v>
      </c>
      <c r="Y84" s="44">
        <v>1</v>
      </c>
      <c r="Z84" s="44">
        <v>7.8</v>
      </c>
      <c r="AA84" s="44">
        <v>4.32</v>
      </c>
      <c r="AB84" s="44" t="s">
        <v>98</v>
      </c>
      <c r="AC84" s="44"/>
      <c r="AD84" s="44"/>
      <c r="AE84" s="44">
        <v>10971</v>
      </c>
      <c r="AF84" s="52">
        <v>6160</v>
      </c>
      <c r="AG84" s="44">
        <v>0.98</v>
      </c>
      <c r="AH84" s="44">
        <v>7.83</v>
      </c>
      <c r="AI84" s="44">
        <v>3.73</v>
      </c>
      <c r="AJ84" s="44" t="s">
        <v>98</v>
      </c>
      <c r="AK84" s="44"/>
      <c r="AL84" s="44"/>
      <c r="AM84" s="44">
        <v>10821</v>
      </c>
      <c r="AN84" s="44">
        <v>4420</v>
      </c>
      <c r="AO84" s="44">
        <v>1.25</v>
      </c>
      <c r="AP84" s="44">
        <v>7.77</v>
      </c>
      <c r="AQ84" s="44">
        <v>3.34</v>
      </c>
      <c r="AR84" s="44" t="s">
        <v>86</v>
      </c>
      <c r="AS84" s="44"/>
      <c r="AT84" s="44"/>
      <c r="AU84" s="44">
        <v>11035</v>
      </c>
      <c r="AV84" s="44">
        <v>7340</v>
      </c>
      <c r="AW84" s="44">
        <v>0.92</v>
      </c>
      <c r="AX84" s="44">
        <v>7.71</v>
      </c>
      <c r="AY84" s="44">
        <v>4.5999999999999996</v>
      </c>
      <c r="AZ84" s="44" t="s">
        <v>98</v>
      </c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</row>
    <row r="85" spans="1:98" ht="15.75" customHeight="1">
      <c r="A85" s="43">
        <v>84</v>
      </c>
      <c r="B85" s="44">
        <v>799</v>
      </c>
      <c r="C85" s="44" t="s">
        <v>152</v>
      </c>
      <c r="D85" s="44">
        <v>8</v>
      </c>
      <c r="E85" s="44">
        <v>70020</v>
      </c>
      <c r="F85" s="44">
        <v>62400</v>
      </c>
      <c r="G85" s="44">
        <v>1.17</v>
      </c>
      <c r="H85" s="44">
        <v>7.66</v>
      </c>
      <c r="I85" s="44">
        <v>3.39</v>
      </c>
      <c r="J85" s="44">
        <v>19</v>
      </c>
      <c r="K85" s="44">
        <v>7</v>
      </c>
      <c r="L85" s="44">
        <v>1</v>
      </c>
      <c r="M85" s="44">
        <v>0</v>
      </c>
      <c r="N85" s="44" t="s">
        <v>111</v>
      </c>
      <c r="O85" s="44">
        <v>10760</v>
      </c>
      <c r="P85" s="44">
        <v>7320</v>
      </c>
      <c r="Q85" s="44">
        <v>1.35</v>
      </c>
      <c r="R85" s="44">
        <v>7.71</v>
      </c>
      <c r="S85" s="44">
        <v>3.67</v>
      </c>
      <c r="T85" s="44" t="s">
        <v>86</v>
      </c>
      <c r="U85" s="44"/>
      <c r="V85" s="44"/>
      <c r="W85" s="44">
        <v>10982</v>
      </c>
      <c r="X85" s="44">
        <v>11240</v>
      </c>
      <c r="Y85" s="44">
        <v>1.59</v>
      </c>
      <c r="Z85" s="44">
        <v>7.56</v>
      </c>
      <c r="AA85" s="44">
        <v>3.32</v>
      </c>
      <c r="AB85" s="44" t="s">
        <v>86</v>
      </c>
      <c r="AC85" s="44"/>
      <c r="AD85" s="44"/>
      <c r="AE85" s="44">
        <v>11005</v>
      </c>
      <c r="AF85" s="52">
        <v>6440</v>
      </c>
      <c r="AG85" s="44">
        <v>1</v>
      </c>
      <c r="AH85" s="44">
        <v>7.58</v>
      </c>
      <c r="AI85" s="44">
        <v>2.2400000000000002</v>
      </c>
      <c r="AJ85" s="44" t="s">
        <v>98</v>
      </c>
      <c r="AK85" s="44"/>
      <c r="AL85" s="44"/>
      <c r="AM85" s="44">
        <v>11010</v>
      </c>
      <c r="AN85" s="44">
        <v>10440</v>
      </c>
      <c r="AO85" s="44">
        <v>1</v>
      </c>
      <c r="AP85" s="44">
        <v>7.82</v>
      </c>
      <c r="AQ85" s="44">
        <v>3.49</v>
      </c>
      <c r="AR85" s="44" t="s">
        <v>86</v>
      </c>
      <c r="AS85" s="44"/>
      <c r="AT85" s="44"/>
      <c r="AU85" s="44">
        <v>11007</v>
      </c>
      <c r="AV85" s="44">
        <v>10900</v>
      </c>
      <c r="AW85" s="44">
        <v>1.0900000000000001</v>
      </c>
      <c r="AX85" s="44">
        <v>7.73</v>
      </c>
      <c r="AY85" s="44">
        <v>3.56</v>
      </c>
      <c r="AZ85" s="44" t="s">
        <v>86</v>
      </c>
      <c r="BA85" s="44"/>
      <c r="BB85" s="44"/>
      <c r="BC85" s="44">
        <v>11015</v>
      </c>
      <c r="BD85" s="44">
        <v>7640</v>
      </c>
      <c r="BE85" s="44">
        <v>0.98</v>
      </c>
      <c r="BF85" s="44">
        <v>7.52</v>
      </c>
      <c r="BG85" s="44">
        <v>3.13</v>
      </c>
      <c r="BH85" s="44" t="s">
        <v>86</v>
      </c>
      <c r="BI85" s="44"/>
      <c r="BJ85" s="44"/>
      <c r="BK85" s="44">
        <v>11038</v>
      </c>
      <c r="BL85" s="44">
        <v>7360</v>
      </c>
      <c r="BM85" s="44">
        <v>0.99</v>
      </c>
      <c r="BN85" s="44">
        <v>7.84</v>
      </c>
      <c r="BO85" s="44">
        <v>3.05</v>
      </c>
      <c r="BP85" s="44" t="s">
        <v>86</v>
      </c>
      <c r="BQ85" s="44"/>
      <c r="BR85" s="44"/>
      <c r="BS85" s="44">
        <v>11012</v>
      </c>
      <c r="BT85" s="44">
        <v>8680</v>
      </c>
      <c r="BU85" s="44">
        <v>1.19</v>
      </c>
      <c r="BV85" s="44">
        <v>7.51</v>
      </c>
      <c r="BW85" s="44">
        <v>4.1900000000000004</v>
      </c>
      <c r="BX85" s="44" t="s">
        <v>86</v>
      </c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</row>
    <row r="86" spans="1:98" ht="15.75" customHeight="1">
      <c r="A86" s="43">
        <v>85</v>
      </c>
      <c r="B86" s="44">
        <v>800</v>
      </c>
      <c r="C86" s="44" t="s">
        <v>153</v>
      </c>
      <c r="D86" s="44">
        <v>5</v>
      </c>
      <c r="E86" s="44">
        <v>36800</v>
      </c>
      <c r="F86" s="44">
        <v>31200</v>
      </c>
      <c r="G86" s="44">
        <v>1.1100000000000001</v>
      </c>
      <c r="H86" s="44">
        <v>7.77</v>
      </c>
      <c r="I86" s="44">
        <v>3.25</v>
      </c>
      <c r="J86" s="44">
        <v>19</v>
      </c>
      <c r="K86" s="44">
        <v>3</v>
      </c>
      <c r="L86" s="44">
        <v>2</v>
      </c>
      <c r="M86" s="44">
        <v>0</v>
      </c>
      <c r="N86" s="44" t="s">
        <v>111</v>
      </c>
      <c r="O86" s="44">
        <v>10685</v>
      </c>
      <c r="P86" s="44">
        <v>9100</v>
      </c>
      <c r="Q86" s="44">
        <v>1.1499999999999999</v>
      </c>
      <c r="R86" s="44">
        <v>7.79</v>
      </c>
      <c r="S86" s="44">
        <v>2.27</v>
      </c>
      <c r="T86" s="44" t="s">
        <v>86</v>
      </c>
      <c r="U86" s="44"/>
      <c r="V86" s="44"/>
      <c r="W86" s="44">
        <v>10918</v>
      </c>
      <c r="X86" s="44">
        <v>7460</v>
      </c>
      <c r="Y86" s="44">
        <v>1.1299999999999999</v>
      </c>
      <c r="Z86" s="44">
        <v>7.71</v>
      </c>
      <c r="AA86" s="44">
        <v>3.24</v>
      </c>
      <c r="AB86" s="44" t="s">
        <v>86</v>
      </c>
      <c r="AC86" s="44"/>
      <c r="AD86" s="44"/>
      <c r="AE86" s="44">
        <v>10773</v>
      </c>
      <c r="AF86" s="52">
        <v>7560</v>
      </c>
      <c r="AG86" s="44">
        <v>1.1000000000000001</v>
      </c>
      <c r="AH86" s="44">
        <v>7.87</v>
      </c>
      <c r="AI86" s="44">
        <v>3.89</v>
      </c>
      <c r="AJ86" s="44" t="s">
        <v>98</v>
      </c>
      <c r="AK86" s="44"/>
      <c r="AL86" s="44"/>
      <c r="AM86" s="44">
        <v>10861</v>
      </c>
      <c r="AN86" s="44">
        <v>7980</v>
      </c>
      <c r="AO86" s="44">
        <v>1.1399999999999999</v>
      </c>
      <c r="AP86" s="44">
        <v>7.7</v>
      </c>
      <c r="AQ86" s="44">
        <v>3.46</v>
      </c>
      <c r="AR86" s="44" t="s">
        <v>86</v>
      </c>
      <c r="AS86" s="44"/>
      <c r="AT86" s="44"/>
      <c r="AU86" s="44">
        <v>10973</v>
      </c>
      <c r="AV86" s="44">
        <v>4700</v>
      </c>
      <c r="AW86" s="44">
        <v>0.99</v>
      </c>
      <c r="AX86" s="44">
        <v>7.87</v>
      </c>
      <c r="AY86" s="44">
        <v>3.69</v>
      </c>
      <c r="AZ86" s="44" t="s">
        <v>98</v>
      </c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</row>
    <row r="87" spans="1:98" ht="15.75" customHeight="1">
      <c r="A87" s="43">
        <v>86</v>
      </c>
      <c r="B87" s="44">
        <v>801</v>
      </c>
      <c r="C87" s="45">
        <v>45360</v>
      </c>
      <c r="D87" s="44">
        <v>5</v>
      </c>
      <c r="E87" s="44">
        <v>36200</v>
      </c>
      <c r="F87" s="44">
        <v>31200</v>
      </c>
      <c r="G87" s="44">
        <v>1.3</v>
      </c>
      <c r="H87" s="44">
        <v>7.76</v>
      </c>
      <c r="I87" s="44">
        <v>3.66</v>
      </c>
      <c r="J87" s="44">
        <v>20</v>
      </c>
      <c r="K87" s="44">
        <v>5</v>
      </c>
      <c r="L87" s="44">
        <v>0</v>
      </c>
      <c r="M87" s="44">
        <v>0</v>
      </c>
      <c r="N87" s="44" t="s">
        <v>99</v>
      </c>
      <c r="O87" s="44">
        <v>11022</v>
      </c>
      <c r="P87" s="44">
        <v>4520</v>
      </c>
      <c r="Q87" s="44">
        <v>1.21</v>
      </c>
      <c r="R87" s="44">
        <v>7.95</v>
      </c>
      <c r="S87" s="44">
        <v>3.45</v>
      </c>
      <c r="T87" s="44" t="s">
        <v>86</v>
      </c>
      <c r="U87" s="44"/>
      <c r="V87" s="44"/>
      <c r="W87" s="44">
        <v>10869</v>
      </c>
      <c r="X87" s="44">
        <v>8060</v>
      </c>
      <c r="Y87" s="44">
        <v>1.67</v>
      </c>
      <c r="Z87" s="44">
        <v>7.76</v>
      </c>
      <c r="AA87" s="44">
        <v>3.15</v>
      </c>
      <c r="AB87" s="44" t="s">
        <v>86</v>
      </c>
      <c r="AC87" s="44"/>
      <c r="AD87" s="44"/>
      <c r="AE87" s="44">
        <v>10884</v>
      </c>
      <c r="AF87" s="52">
        <v>9980</v>
      </c>
      <c r="AG87" s="44">
        <v>1.18</v>
      </c>
      <c r="AH87" s="44">
        <v>7.79</v>
      </c>
      <c r="AI87" s="44">
        <v>3.94</v>
      </c>
      <c r="AJ87" s="44" t="s">
        <v>86</v>
      </c>
      <c r="AK87" s="44"/>
      <c r="AL87" s="44"/>
      <c r="AM87" s="44">
        <v>11011</v>
      </c>
      <c r="AN87" s="44">
        <v>6120</v>
      </c>
      <c r="AO87" s="44">
        <v>1.32</v>
      </c>
      <c r="AP87" s="44">
        <v>7.78</v>
      </c>
      <c r="AQ87" s="44">
        <v>4.42</v>
      </c>
      <c r="AR87" s="44" t="s">
        <v>86</v>
      </c>
      <c r="AS87" s="44"/>
      <c r="AT87" s="44"/>
      <c r="AU87" s="44">
        <v>11069</v>
      </c>
      <c r="AV87" s="44">
        <v>7520</v>
      </c>
      <c r="AW87" s="44">
        <v>1.1000000000000001</v>
      </c>
      <c r="AX87" s="44">
        <v>7.7</v>
      </c>
      <c r="AY87" s="44">
        <v>3.21</v>
      </c>
      <c r="AZ87" s="44" t="s">
        <v>86</v>
      </c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</row>
    <row r="88" spans="1:98" ht="15.75" customHeight="1">
      <c r="A88" s="43">
        <v>87</v>
      </c>
      <c r="B88" s="44">
        <v>803</v>
      </c>
      <c r="C88" s="45">
        <v>45452</v>
      </c>
      <c r="D88" s="44">
        <v>6</v>
      </c>
      <c r="E88" s="44">
        <v>52060</v>
      </c>
      <c r="F88" s="44">
        <v>46800</v>
      </c>
      <c r="G88" s="44">
        <v>1.04</v>
      </c>
      <c r="H88" s="44">
        <v>7.78</v>
      </c>
      <c r="I88" s="44">
        <v>3.71</v>
      </c>
      <c r="J88" s="44">
        <v>20</v>
      </c>
      <c r="K88" s="44">
        <v>0</v>
      </c>
      <c r="L88" s="44">
        <v>5</v>
      </c>
      <c r="M88" s="44">
        <v>1</v>
      </c>
      <c r="N88" s="44" t="s">
        <v>97</v>
      </c>
      <c r="O88" s="44">
        <v>10874</v>
      </c>
      <c r="P88" s="44">
        <v>5340</v>
      </c>
      <c r="Q88" s="44">
        <v>1.03</v>
      </c>
      <c r="R88" s="44">
        <v>7.89</v>
      </c>
      <c r="S88" s="44">
        <v>2.74</v>
      </c>
      <c r="T88" s="44" t="s">
        <v>98</v>
      </c>
      <c r="U88" s="44"/>
      <c r="V88" s="44"/>
      <c r="W88" s="44">
        <v>10917</v>
      </c>
      <c r="X88" s="44">
        <v>11780</v>
      </c>
      <c r="Y88" s="44">
        <v>1.07</v>
      </c>
      <c r="Z88" s="44">
        <v>7.93</v>
      </c>
      <c r="AA88" s="44">
        <v>4.6900000000000004</v>
      </c>
      <c r="AB88" s="44" t="s">
        <v>98</v>
      </c>
      <c r="AC88" s="44"/>
      <c r="AD88" s="44"/>
      <c r="AE88" s="44">
        <v>11032</v>
      </c>
      <c r="AF88" s="52">
        <v>8600</v>
      </c>
      <c r="AG88" s="44">
        <v>1</v>
      </c>
      <c r="AH88" s="44">
        <v>7.77</v>
      </c>
      <c r="AI88" s="44">
        <v>4.38</v>
      </c>
      <c r="AJ88" s="44" t="s">
        <v>98</v>
      </c>
      <c r="AK88" s="44"/>
      <c r="AL88" s="44"/>
      <c r="AM88" s="44">
        <v>11009</v>
      </c>
      <c r="AN88" s="44">
        <v>10340</v>
      </c>
      <c r="AO88" s="44">
        <v>1.1599999999999999</v>
      </c>
      <c r="AP88" s="44">
        <v>8</v>
      </c>
      <c r="AQ88" s="44">
        <v>2.75</v>
      </c>
      <c r="AR88" s="44" t="s">
        <v>106</v>
      </c>
      <c r="AS88" s="44"/>
      <c r="AT88" s="44"/>
      <c r="AU88" s="44">
        <v>10970</v>
      </c>
      <c r="AV88" s="44">
        <v>6200</v>
      </c>
      <c r="AW88" s="44">
        <v>1.01</v>
      </c>
      <c r="AX88" s="44">
        <v>7.81</v>
      </c>
      <c r="AY88" s="44">
        <v>3.86</v>
      </c>
      <c r="AZ88" s="44" t="s">
        <v>98</v>
      </c>
      <c r="BA88" s="44"/>
      <c r="BB88" s="44"/>
      <c r="BC88" s="44">
        <v>10901</v>
      </c>
      <c r="BD88" s="44">
        <v>9800</v>
      </c>
      <c r="BE88" s="44">
        <v>0.94</v>
      </c>
      <c r="BF88" s="44">
        <v>7.57</v>
      </c>
      <c r="BG88" s="44">
        <v>3.55</v>
      </c>
      <c r="BH88" s="44" t="s">
        <v>98</v>
      </c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</row>
    <row r="89" spans="1:98" ht="15.75" customHeight="1">
      <c r="A89" s="43">
        <v>88</v>
      </c>
      <c r="B89" s="44">
        <v>804</v>
      </c>
      <c r="C89" s="45">
        <v>45544</v>
      </c>
      <c r="D89" s="44">
        <v>6</v>
      </c>
      <c r="E89" s="44">
        <v>44320</v>
      </c>
      <c r="F89" s="44">
        <v>39000</v>
      </c>
      <c r="G89" s="44">
        <v>1.1200000000000001</v>
      </c>
      <c r="H89" s="44">
        <v>7.79</v>
      </c>
      <c r="I89" s="44">
        <v>3.7</v>
      </c>
      <c r="J89" s="44">
        <v>20</v>
      </c>
      <c r="K89" s="44">
        <v>4</v>
      </c>
      <c r="L89" s="44">
        <v>2</v>
      </c>
      <c r="M89" s="44">
        <v>0</v>
      </c>
      <c r="N89" s="44" t="s">
        <v>97</v>
      </c>
      <c r="O89" s="44">
        <v>10803</v>
      </c>
      <c r="P89" s="44">
        <v>6620</v>
      </c>
      <c r="Q89" s="44">
        <v>0.95</v>
      </c>
      <c r="R89" s="44">
        <v>7.89</v>
      </c>
      <c r="S89" s="44">
        <v>4.45</v>
      </c>
      <c r="T89" s="44" t="s">
        <v>98</v>
      </c>
      <c r="U89" s="44"/>
      <c r="V89" s="44"/>
      <c r="W89" s="44">
        <v>10853</v>
      </c>
      <c r="X89" s="44">
        <v>5160</v>
      </c>
      <c r="Y89" s="44">
        <v>0.93</v>
      </c>
      <c r="Z89" s="44">
        <v>7.87</v>
      </c>
      <c r="AA89" s="44">
        <v>3.23</v>
      </c>
      <c r="AB89" s="44" t="s">
        <v>98</v>
      </c>
      <c r="AC89" s="44"/>
      <c r="AD89" s="44"/>
      <c r="AE89" s="48">
        <v>10694</v>
      </c>
      <c r="AF89" s="52">
        <v>8280</v>
      </c>
      <c r="AG89" s="44">
        <v>1.35</v>
      </c>
      <c r="AH89" s="44">
        <v>7.85</v>
      </c>
      <c r="AI89" s="44">
        <v>3.6</v>
      </c>
      <c r="AJ89" s="44" t="s">
        <v>86</v>
      </c>
      <c r="AK89" s="44"/>
      <c r="AL89" s="44"/>
      <c r="AM89" s="44">
        <v>11115</v>
      </c>
      <c r="AN89" s="44">
        <v>7160</v>
      </c>
      <c r="AO89" s="44">
        <v>0.99</v>
      </c>
      <c r="AP89" s="44">
        <v>7.92</v>
      </c>
      <c r="AQ89" s="44">
        <v>3.95</v>
      </c>
      <c r="AR89" s="44" t="s">
        <v>86</v>
      </c>
      <c r="AS89" s="44"/>
      <c r="AT89" s="44"/>
      <c r="AU89" s="44">
        <v>10637</v>
      </c>
      <c r="AV89" s="44">
        <v>6740</v>
      </c>
      <c r="AW89" s="44">
        <v>1.21</v>
      </c>
      <c r="AX89" s="44">
        <v>7.55</v>
      </c>
      <c r="AY89" s="44">
        <v>3.44</v>
      </c>
      <c r="AZ89" s="44" t="s">
        <v>86</v>
      </c>
      <c r="BA89" s="44"/>
      <c r="BB89" s="44"/>
      <c r="BC89" s="44">
        <v>10952</v>
      </c>
      <c r="BD89" s="44">
        <v>10360</v>
      </c>
      <c r="BE89" s="44">
        <v>1.2</v>
      </c>
      <c r="BF89" s="44">
        <v>7.72</v>
      </c>
      <c r="BG89" s="44">
        <v>3.64</v>
      </c>
      <c r="BH89" s="44" t="s">
        <v>86</v>
      </c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</row>
    <row r="90" spans="1:98" ht="15.75" customHeight="1">
      <c r="A90" s="43">
        <v>89</v>
      </c>
      <c r="B90" s="44">
        <v>805</v>
      </c>
      <c r="C90" s="45">
        <v>45574</v>
      </c>
      <c r="D90" s="44">
        <v>5</v>
      </c>
      <c r="E90" s="44">
        <v>29140</v>
      </c>
      <c r="F90" s="44">
        <v>23400</v>
      </c>
      <c r="G90" s="44">
        <v>1.1599999999999999</v>
      </c>
      <c r="H90" s="44">
        <v>7.81</v>
      </c>
      <c r="I90" s="44">
        <v>3.3</v>
      </c>
      <c r="J90" s="44">
        <v>19</v>
      </c>
      <c r="K90" s="44">
        <v>2</v>
      </c>
      <c r="L90" s="44">
        <v>3</v>
      </c>
      <c r="M90" s="44">
        <v>0</v>
      </c>
      <c r="N90" s="44" t="s">
        <v>111</v>
      </c>
      <c r="O90" s="44">
        <v>11081</v>
      </c>
      <c r="P90" s="44">
        <v>3040</v>
      </c>
      <c r="Q90" s="44">
        <v>0.89</v>
      </c>
      <c r="R90" s="44">
        <v>7.61</v>
      </c>
      <c r="S90" s="44">
        <v>2.82</v>
      </c>
      <c r="T90" s="44" t="s">
        <v>98</v>
      </c>
      <c r="U90" s="44"/>
      <c r="V90" s="44"/>
      <c r="W90" s="44">
        <v>11078</v>
      </c>
      <c r="X90" s="44">
        <v>6060</v>
      </c>
      <c r="Y90" s="44">
        <v>1.04</v>
      </c>
      <c r="Z90" s="44">
        <v>7.79</v>
      </c>
      <c r="AA90" s="44">
        <v>3.4</v>
      </c>
      <c r="AB90" s="44" t="s">
        <v>98</v>
      </c>
      <c r="AC90" s="44"/>
      <c r="AD90" s="44"/>
      <c r="AE90" s="44">
        <v>10980</v>
      </c>
      <c r="AF90" s="52">
        <v>2940</v>
      </c>
      <c r="AG90" s="44">
        <v>1.1100000000000001</v>
      </c>
      <c r="AH90" s="44">
        <v>7.48</v>
      </c>
      <c r="AI90" s="44">
        <v>2.98</v>
      </c>
      <c r="AJ90" s="44" t="s">
        <v>98</v>
      </c>
      <c r="AK90" s="44"/>
      <c r="AL90" s="44"/>
      <c r="AM90" s="44">
        <v>11116</v>
      </c>
      <c r="AN90" s="44">
        <v>6680</v>
      </c>
      <c r="AO90" s="44">
        <v>1.36</v>
      </c>
      <c r="AP90" s="44">
        <v>7.84</v>
      </c>
      <c r="AQ90" s="44">
        <v>3.8</v>
      </c>
      <c r="AR90" s="44" t="s">
        <v>86</v>
      </c>
      <c r="AS90" s="44"/>
      <c r="AT90" s="44"/>
      <c r="AU90" s="44">
        <v>11117</v>
      </c>
      <c r="AV90" s="44">
        <v>10420</v>
      </c>
      <c r="AW90" s="44">
        <v>1.19</v>
      </c>
      <c r="AX90" s="44">
        <v>7.96</v>
      </c>
      <c r="AY90" s="44">
        <v>3.16</v>
      </c>
      <c r="AZ90" s="44" t="s">
        <v>86</v>
      </c>
      <c r="BA90" s="44"/>
      <c r="BB90" s="44"/>
      <c r="BC90" s="49">
        <v>11106</v>
      </c>
      <c r="BD90" s="49">
        <v>6850</v>
      </c>
      <c r="BE90" s="49"/>
      <c r="BF90" s="49"/>
      <c r="BG90" s="49"/>
      <c r="BH90" s="49" t="s">
        <v>86</v>
      </c>
      <c r="BI90" s="49" t="s">
        <v>112</v>
      </c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</row>
    <row r="91" spans="1:98" ht="15.75" customHeight="1">
      <c r="A91" s="43">
        <v>90</v>
      </c>
      <c r="B91" s="44">
        <v>806</v>
      </c>
      <c r="C91" s="45">
        <v>45605</v>
      </c>
      <c r="D91" s="44">
        <v>5</v>
      </c>
      <c r="E91" s="44">
        <v>36340</v>
      </c>
      <c r="F91" s="44">
        <v>31200</v>
      </c>
      <c r="G91" s="44">
        <v>1.07</v>
      </c>
      <c r="H91" s="44">
        <v>7.79</v>
      </c>
      <c r="I91" s="44">
        <v>2.97</v>
      </c>
      <c r="J91" s="44">
        <v>18</v>
      </c>
      <c r="K91" s="44">
        <v>3</v>
      </c>
      <c r="L91" s="44">
        <v>2</v>
      </c>
      <c r="M91" s="44">
        <v>0</v>
      </c>
      <c r="N91" s="44" t="s">
        <v>111</v>
      </c>
      <c r="O91" s="48">
        <v>10896</v>
      </c>
      <c r="P91" s="44">
        <v>3960</v>
      </c>
      <c r="Q91" s="44">
        <v>0.93</v>
      </c>
      <c r="R91" s="44">
        <v>7.96</v>
      </c>
      <c r="S91" s="44">
        <v>3.03</v>
      </c>
      <c r="T91" s="44" t="s">
        <v>98</v>
      </c>
      <c r="U91" s="44"/>
      <c r="V91" s="44"/>
      <c r="W91" s="44">
        <v>10769</v>
      </c>
      <c r="X91" s="44">
        <v>9080</v>
      </c>
      <c r="Y91" s="44">
        <v>1.17</v>
      </c>
      <c r="Z91" s="44">
        <v>7.67</v>
      </c>
      <c r="AA91" s="44">
        <v>2.84</v>
      </c>
      <c r="AB91" s="44" t="s">
        <v>86</v>
      </c>
      <c r="AC91" s="44"/>
      <c r="AD91" s="44"/>
      <c r="AE91" s="44">
        <v>11025</v>
      </c>
      <c r="AF91" s="52">
        <v>9060</v>
      </c>
      <c r="AG91" s="44">
        <v>1.1599999999999999</v>
      </c>
      <c r="AH91" s="44">
        <v>7.91</v>
      </c>
      <c r="AI91" s="44">
        <v>3.26</v>
      </c>
      <c r="AJ91" s="44" t="s">
        <v>86</v>
      </c>
      <c r="AK91" s="44"/>
      <c r="AL91" s="44"/>
      <c r="AM91" s="44">
        <v>11016</v>
      </c>
      <c r="AN91" s="44">
        <v>3540</v>
      </c>
      <c r="AO91" s="44">
        <v>0.98</v>
      </c>
      <c r="AP91" s="44">
        <v>7.48</v>
      </c>
      <c r="AQ91" s="44">
        <v>3.45</v>
      </c>
      <c r="AR91" s="44" t="s">
        <v>86</v>
      </c>
      <c r="AS91" s="44"/>
      <c r="AT91" s="44"/>
      <c r="AU91" s="44">
        <v>10696</v>
      </c>
      <c r="AV91" s="44">
        <v>10700</v>
      </c>
      <c r="AW91" s="44">
        <v>1.03</v>
      </c>
      <c r="AX91" s="44">
        <v>8.3800000000000008</v>
      </c>
      <c r="AY91" s="44">
        <v>2.75</v>
      </c>
      <c r="AZ91" s="44" t="s">
        <v>98</v>
      </c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52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</row>
    <row r="92" spans="1:98" ht="15.75" customHeight="1">
      <c r="A92" s="43">
        <v>91</v>
      </c>
      <c r="B92" s="44">
        <v>809</v>
      </c>
      <c r="C92" s="44" t="s">
        <v>154</v>
      </c>
      <c r="D92" s="44">
        <v>5</v>
      </c>
      <c r="E92" s="44">
        <v>36360</v>
      </c>
      <c r="F92" s="44">
        <v>31200</v>
      </c>
      <c r="G92" s="44">
        <v>1.01</v>
      </c>
      <c r="H92" s="44">
        <v>7.74</v>
      </c>
      <c r="I92" s="44">
        <v>3.68</v>
      </c>
      <c r="J92" s="44">
        <v>20</v>
      </c>
      <c r="K92" s="44">
        <v>2</v>
      </c>
      <c r="L92" s="44">
        <v>3</v>
      </c>
      <c r="M92" s="44">
        <v>0</v>
      </c>
      <c r="N92" s="44" t="s">
        <v>97</v>
      </c>
      <c r="O92" s="44">
        <v>11026</v>
      </c>
      <c r="P92" s="44">
        <v>7360</v>
      </c>
      <c r="Q92" s="44">
        <v>1.02</v>
      </c>
      <c r="R92" s="44">
        <v>7.79</v>
      </c>
      <c r="S92" s="44">
        <v>3.22</v>
      </c>
      <c r="T92" s="44" t="s">
        <v>98</v>
      </c>
      <c r="U92" s="44"/>
      <c r="V92" s="44"/>
      <c r="W92" s="44">
        <v>11014</v>
      </c>
      <c r="X92" s="44">
        <v>8560</v>
      </c>
      <c r="Y92" s="44">
        <v>1.1200000000000001</v>
      </c>
      <c r="Z92" s="44">
        <v>7.65</v>
      </c>
      <c r="AA92" s="44">
        <v>3.38</v>
      </c>
      <c r="AB92" s="44" t="s">
        <v>86</v>
      </c>
      <c r="AC92" s="44"/>
      <c r="AD92" s="44"/>
      <c r="AE92" s="44">
        <v>11145</v>
      </c>
      <c r="AF92" s="52">
        <v>9500</v>
      </c>
      <c r="AG92" s="44">
        <v>0.95</v>
      </c>
      <c r="AH92" s="44">
        <v>7.83</v>
      </c>
      <c r="AI92" s="44">
        <v>4.72</v>
      </c>
      <c r="AJ92" s="44" t="s">
        <v>98</v>
      </c>
      <c r="AK92" s="44"/>
      <c r="AL92" s="44"/>
      <c r="AM92" s="44">
        <v>10949</v>
      </c>
      <c r="AN92" s="44">
        <v>6940</v>
      </c>
      <c r="AO92" s="44">
        <v>0.96</v>
      </c>
      <c r="AP92" s="44">
        <v>7.73</v>
      </c>
      <c r="AQ92" s="44">
        <v>4.12</v>
      </c>
      <c r="AR92" s="44" t="s">
        <v>86</v>
      </c>
      <c r="AS92" s="44"/>
      <c r="AT92" s="44"/>
      <c r="AU92" s="44">
        <v>11143</v>
      </c>
      <c r="AV92" s="44">
        <v>4000</v>
      </c>
      <c r="AW92" s="44">
        <v>1.1399999999999999</v>
      </c>
      <c r="AX92" s="44">
        <v>7.66</v>
      </c>
      <c r="AY92" s="44">
        <v>1.89</v>
      </c>
      <c r="AZ92" s="44" t="s">
        <v>98</v>
      </c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52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</row>
    <row r="93" spans="1:98" ht="15.75" customHeight="1">
      <c r="A93" s="43">
        <v>92</v>
      </c>
      <c r="B93" s="44">
        <v>807</v>
      </c>
      <c r="C93" s="45">
        <v>45635</v>
      </c>
      <c r="D93" s="44">
        <v>6</v>
      </c>
      <c r="E93" s="44">
        <v>36140</v>
      </c>
      <c r="F93" s="44">
        <v>31200</v>
      </c>
      <c r="G93" s="44">
        <v>1.05</v>
      </c>
      <c r="H93" s="44">
        <v>7.76</v>
      </c>
      <c r="I93" s="44">
        <v>3.73</v>
      </c>
      <c r="J93" s="44">
        <v>20</v>
      </c>
      <c r="K93" s="44">
        <v>2</v>
      </c>
      <c r="L93" s="44">
        <v>4</v>
      </c>
      <c r="M93" s="44">
        <v>0</v>
      </c>
      <c r="N93" s="44" t="s">
        <v>97</v>
      </c>
      <c r="O93" s="44">
        <v>11034</v>
      </c>
      <c r="P93" s="44">
        <v>3140</v>
      </c>
      <c r="Q93" s="44">
        <v>0.96</v>
      </c>
      <c r="R93" s="44">
        <v>7.69</v>
      </c>
      <c r="S93" s="44">
        <v>4.21</v>
      </c>
      <c r="T93" s="44" t="s">
        <v>98</v>
      </c>
      <c r="U93" s="44"/>
      <c r="V93" s="44"/>
      <c r="W93" s="44">
        <v>11074</v>
      </c>
      <c r="X93" s="44">
        <v>6220</v>
      </c>
      <c r="Y93" s="44">
        <v>1</v>
      </c>
      <c r="Z93" s="44">
        <v>7.92</v>
      </c>
      <c r="AA93" s="44">
        <v>2.92</v>
      </c>
      <c r="AB93" s="44" t="s">
        <v>98</v>
      </c>
      <c r="AC93" s="44"/>
      <c r="AD93" s="44"/>
      <c r="AE93" s="44">
        <v>11023</v>
      </c>
      <c r="AF93" s="52">
        <v>5140</v>
      </c>
      <c r="AG93" s="44">
        <v>1.19</v>
      </c>
      <c r="AH93" s="44">
        <v>7.75</v>
      </c>
      <c r="AI93" s="44">
        <v>2.99</v>
      </c>
      <c r="AJ93" s="44" t="s">
        <v>86</v>
      </c>
      <c r="AK93" s="44"/>
      <c r="AL93" s="44"/>
      <c r="AM93" s="44">
        <v>11114</v>
      </c>
      <c r="AN93" s="44">
        <v>9360</v>
      </c>
      <c r="AO93" s="44">
        <v>1</v>
      </c>
      <c r="AP93" s="44">
        <v>7.72</v>
      </c>
      <c r="AQ93" s="44">
        <v>5.4</v>
      </c>
      <c r="AR93" s="44" t="s">
        <v>98</v>
      </c>
      <c r="AS93" s="44"/>
      <c r="AT93" s="44"/>
      <c r="AU93" s="44">
        <v>11039</v>
      </c>
      <c r="AV93" s="44">
        <v>3260</v>
      </c>
      <c r="AW93" s="44">
        <v>0.97</v>
      </c>
      <c r="AX93" s="44">
        <v>7.81</v>
      </c>
      <c r="AY93" s="44">
        <v>3.13</v>
      </c>
      <c r="AZ93" s="44" t="s">
        <v>98</v>
      </c>
      <c r="BA93" s="44"/>
      <c r="BB93" s="44"/>
      <c r="BC93" s="44">
        <v>11006</v>
      </c>
      <c r="BD93" s="44">
        <v>9020</v>
      </c>
      <c r="BE93" s="44">
        <v>1.1499999999999999</v>
      </c>
      <c r="BF93" s="44">
        <v>7.86</v>
      </c>
      <c r="BG93" s="44">
        <v>3.16</v>
      </c>
      <c r="BH93" s="44" t="s">
        <v>86</v>
      </c>
      <c r="BI93" s="44"/>
      <c r="BJ93" s="44"/>
      <c r="BK93" s="44"/>
      <c r="BL93" s="44"/>
      <c r="BM93" s="52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</row>
    <row r="94" spans="1:98" ht="15.75" customHeight="1">
      <c r="A94" s="43">
        <v>93</v>
      </c>
      <c r="B94" s="44">
        <v>810</v>
      </c>
      <c r="C94" s="44" t="s">
        <v>155</v>
      </c>
      <c r="D94" s="44">
        <v>6</v>
      </c>
      <c r="E94" s="44">
        <v>44320</v>
      </c>
      <c r="F94" s="44">
        <v>38600</v>
      </c>
      <c r="G94" s="44">
        <v>1.1100000000000001</v>
      </c>
      <c r="H94" s="44">
        <v>7.83</v>
      </c>
      <c r="I94" s="44">
        <v>3.67</v>
      </c>
      <c r="J94" s="44">
        <v>20</v>
      </c>
      <c r="K94" s="44">
        <v>3</v>
      </c>
      <c r="L94" s="44">
        <v>3</v>
      </c>
      <c r="M94" s="44">
        <v>0</v>
      </c>
      <c r="N94" s="44" t="s">
        <v>97</v>
      </c>
      <c r="O94" s="44">
        <v>10807</v>
      </c>
      <c r="P94" s="44">
        <v>9960</v>
      </c>
      <c r="Q94" s="44">
        <v>1.1000000000000001</v>
      </c>
      <c r="R94" s="44">
        <v>7.95</v>
      </c>
      <c r="S94" s="44">
        <v>3.87</v>
      </c>
      <c r="T94" s="44" t="s">
        <v>86</v>
      </c>
      <c r="U94" s="44"/>
      <c r="V94" s="44"/>
      <c r="W94" s="44">
        <v>11037</v>
      </c>
      <c r="X94" s="44">
        <v>8720</v>
      </c>
      <c r="Y94" s="44">
        <v>1.2</v>
      </c>
      <c r="Z94" s="44">
        <v>7.74</v>
      </c>
      <c r="AA94" s="44">
        <v>3.13</v>
      </c>
      <c r="AB94" s="44" t="s">
        <v>86</v>
      </c>
      <c r="AC94" s="44"/>
      <c r="AD94" s="44"/>
      <c r="AE94" s="44">
        <v>10875</v>
      </c>
      <c r="AF94" s="52">
        <v>6020</v>
      </c>
      <c r="AG94" s="44">
        <v>1.03</v>
      </c>
      <c r="AH94" s="44">
        <v>7.82</v>
      </c>
      <c r="AI94" s="44">
        <v>2.84</v>
      </c>
      <c r="AJ94" s="44" t="s">
        <v>98</v>
      </c>
      <c r="AK94" s="44"/>
      <c r="AL94" s="44"/>
      <c r="AM94" s="44">
        <v>10690</v>
      </c>
      <c r="AN94" s="44">
        <v>4720</v>
      </c>
      <c r="AO94" s="44">
        <v>1.01</v>
      </c>
      <c r="AP94" s="44">
        <v>7.85</v>
      </c>
      <c r="AQ94" s="44">
        <v>3.12</v>
      </c>
      <c r="AR94" s="44" t="s">
        <v>98</v>
      </c>
      <c r="AS94" s="44"/>
      <c r="AT94" s="44"/>
      <c r="AU94" s="44">
        <v>11147</v>
      </c>
      <c r="AV94" s="44">
        <v>10100</v>
      </c>
      <c r="AW94" s="44">
        <v>0.98</v>
      </c>
      <c r="AX94" s="44">
        <v>7.89</v>
      </c>
      <c r="AY94" s="44">
        <v>4.55</v>
      </c>
      <c r="AZ94" s="44" t="s">
        <v>98</v>
      </c>
      <c r="BA94" s="44"/>
      <c r="BB94" s="44"/>
      <c r="BC94" s="44">
        <v>11079</v>
      </c>
      <c r="BD94" s="44">
        <v>4800</v>
      </c>
      <c r="BE94" s="44">
        <v>1.36</v>
      </c>
      <c r="BF94" s="44">
        <v>7.68</v>
      </c>
      <c r="BG94" s="44">
        <v>3.95</v>
      </c>
      <c r="BH94" s="44" t="s">
        <v>86</v>
      </c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</row>
    <row r="95" spans="1:98" ht="15.75" customHeight="1">
      <c r="A95" s="43">
        <v>94</v>
      </c>
      <c r="B95" s="44">
        <v>812</v>
      </c>
      <c r="C95" s="44" t="s">
        <v>156</v>
      </c>
      <c r="D95" s="44">
        <v>5</v>
      </c>
      <c r="E95" s="44">
        <v>27460</v>
      </c>
      <c r="F95" s="44">
        <v>23400</v>
      </c>
      <c r="G95" s="44">
        <v>1.26</v>
      </c>
      <c r="H95" s="44">
        <v>7.76</v>
      </c>
      <c r="I95" s="44">
        <v>3.84</v>
      </c>
      <c r="J95" s="44">
        <v>21</v>
      </c>
      <c r="K95" s="44">
        <v>2</v>
      </c>
      <c r="L95" s="44">
        <v>2</v>
      </c>
      <c r="M95" s="44">
        <v>1</v>
      </c>
      <c r="N95" s="44" t="s">
        <v>5</v>
      </c>
      <c r="O95" s="44">
        <v>11205</v>
      </c>
      <c r="P95" s="44">
        <v>2520</v>
      </c>
      <c r="Q95" s="44">
        <v>1.47</v>
      </c>
      <c r="R95" s="44">
        <v>7.69</v>
      </c>
      <c r="S95" s="44">
        <v>2.0499999999999998</v>
      </c>
      <c r="T95" s="44" t="s">
        <v>86</v>
      </c>
      <c r="U95" s="44"/>
      <c r="V95" s="44"/>
      <c r="W95" s="44">
        <v>11185</v>
      </c>
      <c r="X95" s="44">
        <v>4780</v>
      </c>
      <c r="Y95" s="44">
        <v>1.23</v>
      </c>
      <c r="Z95" s="44">
        <v>7.76</v>
      </c>
      <c r="AA95" s="44">
        <v>3.39</v>
      </c>
      <c r="AB95" s="44" t="s">
        <v>98</v>
      </c>
      <c r="AC95" s="44"/>
      <c r="AD95" s="44"/>
      <c r="AE95" s="44">
        <v>11021</v>
      </c>
      <c r="AF95" s="52">
        <v>8300</v>
      </c>
      <c r="AG95" s="44">
        <v>1.27</v>
      </c>
      <c r="AH95" s="44">
        <v>7.84</v>
      </c>
      <c r="AI95" s="44">
        <v>3.68</v>
      </c>
      <c r="AJ95" s="44" t="s">
        <v>86</v>
      </c>
      <c r="AK95" s="44"/>
      <c r="AL95" s="44"/>
      <c r="AM95" s="44">
        <v>11177</v>
      </c>
      <c r="AN95" s="44">
        <v>6440</v>
      </c>
      <c r="AO95" s="44">
        <v>1.19</v>
      </c>
      <c r="AP95" s="44">
        <v>7.8</v>
      </c>
      <c r="AQ95" s="44">
        <v>3.92</v>
      </c>
      <c r="AR95" s="44" t="s">
        <v>98</v>
      </c>
      <c r="AS95" s="44"/>
      <c r="AT95" s="44"/>
      <c r="AU95" s="44">
        <v>11113</v>
      </c>
      <c r="AV95" s="44">
        <v>5420</v>
      </c>
      <c r="AW95" s="44">
        <v>1.38</v>
      </c>
      <c r="AX95" s="44">
        <v>7.57</v>
      </c>
      <c r="AY95" s="44">
        <v>5.26</v>
      </c>
      <c r="AZ95" s="44" t="s">
        <v>106</v>
      </c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</row>
    <row r="96" spans="1:98" ht="15.75" customHeight="1">
      <c r="A96" s="43">
        <v>95</v>
      </c>
      <c r="B96" s="44">
        <v>813</v>
      </c>
      <c r="C96" s="44" t="s">
        <v>157</v>
      </c>
      <c r="D96" s="44">
        <v>5</v>
      </c>
      <c r="E96" s="44">
        <v>35580</v>
      </c>
      <c r="F96" s="44">
        <v>31200</v>
      </c>
      <c r="G96" s="44">
        <v>1.24</v>
      </c>
      <c r="H96" s="44">
        <v>7.63</v>
      </c>
      <c r="I96" s="44">
        <v>3.62</v>
      </c>
      <c r="J96" s="44">
        <v>20</v>
      </c>
      <c r="K96" s="44">
        <v>3</v>
      </c>
      <c r="L96" s="44">
        <v>2</v>
      </c>
      <c r="M96" s="44">
        <v>0</v>
      </c>
      <c r="N96" s="44" t="s">
        <v>5</v>
      </c>
      <c r="O96" s="44">
        <v>11187</v>
      </c>
      <c r="P96" s="44">
        <v>9460</v>
      </c>
      <c r="Q96" s="44">
        <v>1.35</v>
      </c>
      <c r="R96" s="44">
        <v>7.78</v>
      </c>
      <c r="S96" s="44">
        <v>3.59</v>
      </c>
      <c r="T96" s="44" t="s">
        <v>98</v>
      </c>
      <c r="U96" s="44"/>
      <c r="V96" s="44"/>
      <c r="W96" s="44">
        <v>11194</v>
      </c>
      <c r="X96" s="44">
        <v>9180</v>
      </c>
      <c r="Y96" s="44">
        <v>1.1399999999999999</v>
      </c>
      <c r="Z96" s="44">
        <v>7.44</v>
      </c>
      <c r="AA96" s="44">
        <v>3.88</v>
      </c>
      <c r="AB96" s="44" t="s">
        <v>98</v>
      </c>
      <c r="AC96" s="44"/>
      <c r="AD96" s="44"/>
      <c r="AE96" s="44">
        <v>11171</v>
      </c>
      <c r="AF96" s="52">
        <v>4220</v>
      </c>
      <c r="AG96" s="44">
        <v>1.21</v>
      </c>
      <c r="AH96" s="44">
        <v>7.69</v>
      </c>
      <c r="AI96" s="44">
        <v>3.98</v>
      </c>
      <c r="AJ96" s="44" t="s">
        <v>86</v>
      </c>
      <c r="AK96" s="44"/>
      <c r="AL96" s="44"/>
      <c r="AM96" s="44">
        <v>11173</v>
      </c>
      <c r="AN96" s="44">
        <v>5360</v>
      </c>
      <c r="AO96" s="44">
        <v>1.21</v>
      </c>
      <c r="AP96" s="44">
        <v>7.86</v>
      </c>
      <c r="AQ96" s="44">
        <v>3.8</v>
      </c>
      <c r="AR96" s="44" t="s">
        <v>86</v>
      </c>
      <c r="AS96" s="44"/>
      <c r="AT96" s="44"/>
      <c r="AU96" s="44">
        <v>11180</v>
      </c>
      <c r="AV96" s="44">
        <v>7360</v>
      </c>
      <c r="AW96" s="44">
        <v>1.27</v>
      </c>
      <c r="AX96" s="44">
        <v>7.63</v>
      </c>
      <c r="AY96" s="44">
        <v>3.01</v>
      </c>
      <c r="AZ96" s="44" t="s">
        <v>86</v>
      </c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</row>
    <row r="97" spans="1:98" ht="15.75" customHeight="1">
      <c r="A97" s="43">
        <v>96</v>
      </c>
      <c r="B97" s="44">
        <v>814</v>
      </c>
      <c r="C97" s="44" t="s">
        <v>158</v>
      </c>
      <c r="D97" s="44">
        <v>6</v>
      </c>
      <c r="E97" s="44">
        <v>36440</v>
      </c>
      <c r="F97" s="44">
        <v>31000</v>
      </c>
      <c r="G97" s="44">
        <v>1.19</v>
      </c>
      <c r="H97" s="44">
        <v>7.74</v>
      </c>
      <c r="I97" s="44">
        <v>3.68</v>
      </c>
      <c r="J97" s="44">
        <v>20</v>
      </c>
      <c r="K97" s="44">
        <v>4</v>
      </c>
      <c r="L97" s="44">
        <v>1</v>
      </c>
      <c r="M97" s="44">
        <v>0</v>
      </c>
      <c r="N97" s="44" t="s">
        <v>159</v>
      </c>
      <c r="O97" s="52">
        <v>11232</v>
      </c>
      <c r="P97" s="46">
        <v>6760</v>
      </c>
      <c r="Q97" s="44">
        <v>1.1200000000000001</v>
      </c>
      <c r="R97" s="44">
        <v>7.68</v>
      </c>
      <c r="S97" s="44">
        <v>2.98</v>
      </c>
      <c r="T97" s="44" t="s">
        <v>86</v>
      </c>
      <c r="U97" s="44"/>
      <c r="V97" s="44"/>
      <c r="W97" s="52">
        <v>11226</v>
      </c>
      <c r="X97" s="44">
        <v>7760</v>
      </c>
      <c r="Y97" s="44">
        <v>1.05</v>
      </c>
      <c r="Z97" s="44">
        <v>7.54</v>
      </c>
      <c r="AA97" s="44">
        <v>2.9</v>
      </c>
      <c r="AB97" s="44" t="s">
        <v>98</v>
      </c>
      <c r="AC97" s="44"/>
      <c r="AD97" s="44"/>
      <c r="AE97" s="52">
        <v>11217</v>
      </c>
      <c r="AF97" s="52">
        <v>8620</v>
      </c>
      <c r="AG97" s="44">
        <v>1.33</v>
      </c>
      <c r="AH97" s="44">
        <v>7.85</v>
      </c>
      <c r="AI97" s="44">
        <v>4.47</v>
      </c>
      <c r="AJ97" s="44" t="s">
        <v>86</v>
      </c>
      <c r="AK97" s="44"/>
      <c r="AL97" s="44"/>
      <c r="AM97" s="52">
        <v>11214</v>
      </c>
      <c r="AN97" s="44">
        <v>8540</v>
      </c>
      <c r="AO97" s="44">
        <v>1.36</v>
      </c>
      <c r="AP97" s="44">
        <v>7.83</v>
      </c>
      <c r="AQ97" s="44">
        <v>4.46</v>
      </c>
      <c r="AR97" s="44" t="s">
        <v>86</v>
      </c>
      <c r="AS97" s="44"/>
      <c r="AT97" s="44"/>
      <c r="AU97" s="52">
        <v>11233</v>
      </c>
      <c r="AV97" s="44">
        <v>4960</v>
      </c>
      <c r="AW97" s="44">
        <v>1.03</v>
      </c>
      <c r="AX97" s="44">
        <v>7.68</v>
      </c>
      <c r="AY97" s="44">
        <v>3.24</v>
      </c>
      <c r="AZ97" s="44" t="s">
        <v>86</v>
      </c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</row>
    <row r="98" spans="1:98" ht="15.75" customHeight="1">
      <c r="A98" s="43">
        <v>97</v>
      </c>
      <c r="B98" s="44">
        <v>815</v>
      </c>
      <c r="C98" s="44" t="s">
        <v>160</v>
      </c>
      <c r="D98" s="44">
        <v>6</v>
      </c>
      <c r="E98" s="44">
        <v>36500</v>
      </c>
      <c r="F98" s="44">
        <v>31000</v>
      </c>
      <c r="G98" s="44">
        <v>1.07</v>
      </c>
      <c r="H98" s="44">
        <v>7.74</v>
      </c>
      <c r="I98" s="44">
        <v>3.71</v>
      </c>
      <c r="J98" s="44">
        <v>20</v>
      </c>
      <c r="K98" s="44">
        <v>3</v>
      </c>
      <c r="L98" s="44">
        <v>2</v>
      </c>
      <c r="M98" s="44">
        <v>0</v>
      </c>
      <c r="N98" s="44" t="s">
        <v>159</v>
      </c>
      <c r="O98" s="52">
        <v>11146</v>
      </c>
      <c r="P98" s="44">
        <v>11060</v>
      </c>
      <c r="Q98" s="44">
        <v>0.99</v>
      </c>
      <c r="R98" s="44">
        <v>7.93</v>
      </c>
      <c r="S98" s="44">
        <v>4.6399999999999997</v>
      </c>
      <c r="T98" s="44" t="s">
        <v>98</v>
      </c>
      <c r="U98" s="44"/>
      <c r="V98" s="44"/>
      <c r="W98" s="52">
        <v>10977</v>
      </c>
      <c r="X98" s="44">
        <v>6780</v>
      </c>
      <c r="Y98" s="44">
        <v>1.03</v>
      </c>
      <c r="Z98" s="44">
        <v>7.59</v>
      </c>
      <c r="AA98" s="44">
        <v>2.69</v>
      </c>
      <c r="AB98" s="44" t="s">
        <v>86</v>
      </c>
      <c r="AC98" s="44"/>
      <c r="AD98" s="44"/>
      <c r="AE98" s="52">
        <v>11221</v>
      </c>
      <c r="AF98" s="52">
        <v>5740</v>
      </c>
      <c r="AG98" s="44">
        <v>0.89</v>
      </c>
      <c r="AH98" s="44">
        <v>7.84</v>
      </c>
      <c r="AI98" s="44">
        <v>3.18</v>
      </c>
      <c r="AJ98" s="44" t="s">
        <v>161</v>
      </c>
      <c r="AK98" s="44"/>
      <c r="AL98" s="44"/>
      <c r="AM98" s="52">
        <v>11212</v>
      </c>
      <c r="AN98" s="52">
        <v>7780</v>
      </c>
      <c r="AO98" s="44">
        <v>1.25</v>
      </c>
      <c r="AP98" s="44">
        <v>7.67</v>
      </c>
      <c r="AQ98" s="44">
        <v>3.7</v>
      </c>
      <c r="AR98" s="44" t="s">
        <v>86</v>
      </c>
      <c r="AS98" s="44"/>
      <c r="AT98" s="44"/>
      <c r="AU98" s="52">
        <v>11244</v>
      </c>
      <c r="AV98" s="44">
        <v>5140</v>
      </c>
      <c r="AW98" s="44">
        <v>1.26</v>
      </c>
      <c r="AX98" s="44">
        <v>7.58</v>
      </c>
      <c r="AY98" s="44">
        <v>3.77</v>
      </c>
      <c r="AZ98" s="44" t="s">
        <v>86</v>
      </c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</row>
    <row r="99" spans="1:98" ht="15.75" customHeight="1">
      <c r="A99" s="43">
        <v>98</v>
      </c>
      <c r="B99" s="44">
        <v>817</v>
      </c>
      <c r="C99" s="44" t="s">
        <v>162</v>
      </c>
      <c r="D99" s="44">
        <v>6</v>
      </c>
      <c r="E99" s="44">
        <v>36100</v>
      </c>
      <c r="F99" s="44">
        <v>31100</v>
      </c>
      <c r="G99" s="44">
        <v>1.03</v>
      </c>
      <c r="H99" s="44">
        <v>7.9</v>
      </c>
      <c r="I99" s="44">
        <v>3.63</v>
      </c>
      <c r="J99" s="44">
        <v>20</v>
      </c>
      <c r="K99" s="44">
        <v>2</v>
      </c>
      <c r="L99" s="44">
        <v>3</v>
      </c>
      <c r="M99" s="44">
        <v>0</v>
      </c>
      <c r="N99" s="44" t="s">
        <v>159</v>
      </c>
      <c r="O99" s="52">
        <v>11193</v>
      </c>
      <c r="P99" s="44">
        <v>4580</v>
      </c>
      <c r="Q99" s="44">
        <v>1.23</v>
      </c>
      <c r="R99" s="44">
        <v>7.64</v>
      </c>
      <c r="S99" s="44">
        <v>2.71</v>
      </c>
      <c r="T99" s="44" t="s">
        <v>98</v>
      </c>
      <c r="U99" s="44"/>
      <c r="V99" s="44"/>
      <c r="W99" s="52">
        <v>11243</v>
      </c>
      <c r="X99" s="44">
        <v>9540</v>
      </c>
      <c r="Y99" s="44">
        <v>1.06</v>
      </c>
      <c r="Z99" s="44">
        <v>7.99</v>
      </c>
      <c r="AA99" s="44">
        <v>4.07</v>
      </c>
      <c r="AB99" s="44" t="s">
        <v>98</v>
      </c>
      <c r="AC99" s="44"/>
      <c r="AD99" s="44"/>
      <c r="AE99" s="52">
        <v>11222</v>
      </c>
      <c r="AF99" s="46">
        <v>9160</v>
      </c>
      <c r="AG99" s="52">
        <v>0.9</v>
      </c>
      <c r="AH99" s="44">
        <v>8.0399999999999991</v>
      </c>
      <c r="AI99" s="44">
        <v>3.12</v>
      </c>
      <c r="AJ99" s="44" t="s">
        <v>98</v>
      </c>
      <c r="AK99" s="44"/>
      <c r="AL99" s="44"/>
      <c r="AM99" s="52">
        <v>11246</v>
      </c>
      <c r="AN99" s="44">
        <v>8260</v>
      </c>
      <c r="AO99" s="44">
        <v>1.04</v>
      </c>
      <c r="AP99" s="44">
        <v>7.97</v>
      </c>
      <c r="AQ99" s="44">
        <v>4.0599999999999996</v>
      </c>
      <c r="AR99" s="44" t="s">
        <v>86</v>
      </c>
      <c r="AS99" s="44"/>
      <c r="AT99" s="44"/>
      <c r="AU99" s="52">
        <v>11215</v>
      </c>
      <c r="AV99" s="44">
        <v>4560</v>
      </c>
      <c r="AW99" s="44">
        <v>1.08</v>
      </c>
      <c r="AX99" s="44">
        <v>8</v>
      </c>
      <c r="AY99" s="44">
        <v>4.01</v>
      </c>
      <c r="AZ99" s="44" t="s">
        <v>86</v>
      </c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</row>
    <row r="100" spans="1:98" ht="15.75" customHeight="1">
      <c r="A100" s="43">
        <v>99</v>
      </c>
      <c r="B100" s="44">
        <v>818</v>
      </c>
      <c r="C100" s="44" t="s">
        <v>163</v>
      </c>
      <c r="D100" s="44">
        <v>5</v>
      </c>
      <c r="E100" s="44">
        <v>27600</v>
      </c>
      <c r="F100" s="44">
        <v>23400</v>
      </c>
      <c r="G100" s="44">
        <v>1.25</v>
      </c>
      <c r="H100" s="44">
        <v>7.71</v>
      </c>
      <c r="I100" s="44">
        <v>3.51</v>
      </c>
      <c r="J100" s="44">
        <v>20</v>
      </c>
      <c r="K100" s="44">
        <v>3</v>
      </c>
      <c r="L100" s="44">
        <v>2</v>
      </c>
      <c r="M100" s="44">
        <v>0</v>
      </c>
      <c r="N100" s="44" t="s">
        <v>5</v>
      </c>
      <c r="O100" s="54">
        <v>11245</v>
      </c>
      <c r="P100" s="46">
        <v>4180</v>
      </c>
      <c r="Q100" s="44">
        <v>1.2</v>
      </c>
      <c r="R100" s="44">
        <v>7.66</v>
      </c>
      <c r="S100" s="44">
        <v>3.2</v>
      </c>
      <c r="T100" s="44" t="s">
        <v>86</v>
      </c>
      <c r="U100" s="46"/>
      <c r="V100" s="44"/>
      <c r="W100" s="52">
        <v>11184</v>
      </c>
      <c r="X100" s="44">
        <v>5100</v>
      </c>
      <c r="Y100" s="44">
        <v>1.22</v>
      </c>
      <c r="Z100" s="44">
        <v>7.85</v>
      </c>
      <c r="AA100" s="44">
        <v>3.39</v>
      </c>
      <c r="AB100" s="44" t="s">
        <v>98</v>
      </c>
      <c r="AC100" s="44"/>
      <c r="AD100" s="44"/>
      <c r="AE100" s="52">
        <v>11170</v>
      </c>
      <c r="AF100" s="44">
        <v>6400</v>
      </c>
      <c r="AG100" s="44">
        <v>1.44</v>
      </c>
      <c r="AH100" s="44">
        <v>7.51</v>
      </c>
      <c r="AI100" s="44">
        <v>3.02</v>
      </c>
      <c r="AJ100" s="44" t="s">
        <v>86</v>
      </c>
      <c r="AK100" s="44"/>
      <c r="AL100" s="44"/>
      <c r="AM100" s="54">
        <v>11245</v>
      </c>
      <c r="AN100" s="46">
        <v>4180</v>
      </c>
      <c r="AO100" s="44">
        <v>1.2</v>
      </c>
      <c r="AP100" s="44">
        <v>7.66</v>
      </c>
      <c r="AQ100" s="44">
        <v>3.2</v>
      </c>
      <c r="AR100" s="44" t="s">
        <v>86</v>
      </c>
      <c r="AS100" s="44"/>
      <c r="AT100" s="44"/>
      <c r="AU100" s="52">
        <v>11176</v>
      </c>
      <c r="AV100" s="44">
        <v>7060</v>
      </c>
      <c r="AW100" s="44">
        <v>1.2</v>
      </c>
      <c r="AX100" s="44">
        <v>7.8</v>
      </c>
      <c r="AY100" s="44">
        <v>3.79</v>
      </c>
      <c r="AZ100" s="44" t="s">
        <v>98</v>
      </c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</row>
    <row r="101" spans="1:98" ht="15.75" customHeight="1">
      <c r="A101" s="43">
        <v>100</v>
      </c>
      <c r="B101" s="44">
        <v>820</v>
      </c>
      <c r="C101" s="44" t="s">
        <v>164</v>
      </c>
      <c r="D101" s="44">
        <v>4</v>
      </c>
      <c r="E101" s="46">
        <v>32720</v>
      </c>
      <c r="F101" s="44">
        <v>27300</v>
      </c>
      <c r="G101" s="44">
        <v>1.02</v>
      </c>
      <c r="H101" s="44">
        <v>7.78</v>
      </c>
      <c r="I101" s="44">
        <v>4.05</v>
      </c>
      <c r="J101" s="44">
        <v>21</v>
      </c>
      <c r="K101" s="44">
        <v>1</v>
      </c>
      <c r="L101" s="44">
        <v>3</v>
      </c>
      <c r="M101" s="44">
        <v>0</v>
      </c>
      <c r="N101" s="44" t="s">
        <v>159</v>
      </c>
      <c r="O101" s="52">
        <v>11296</v>
      </c>
      <c r="P101" s="44">
        <v>9440</v>
      </c>
      <c r="Q101" s="44">
        <v>0.93</v>
      </c>
      <c r="R101" s="44">
        <v>7.77</v>
      </c>
      <c r="S101" s="44">
        <v>3.81</v>
      </c>
      <c r="T101" s="44" t="s">
        <v>98</v>
      </c>
      <c r="U101" s="44"/>
      <c r="V101" s="44"/>
      <c r="W101" s="52">
        <v>11285</v>
      </c>
      <c r="X101" s="44">
        <v>10560</v>
      </c>
      <c r="Y101" s="44">
        <v>1.0900000000000001</v>
      </c>
      <c r="Z101" s="44">
        <v>7.79</v>
      </c>
      <c r="AA101" s="44">
        <v>4.21</v>
      </c>
      <c r="AB101" s="44" t="s">
        <v>86</v>
      </c>
      <c r="AC101" s="44"/>
      <c r="AD101" s="44"/>
      <c r="AE101" s="52">
        <v>11234</v>
      </c>
      <c r="AF101" s="44">
        <v>3960</v>
      </c>
      <c r="AG101" s="44">
        <v>0.96</v>
      </c>
      <c r="AH101" s="44">
        <v>7.75</v>
      </c>
      <c r="AI101" s="44">
        <v>3.59</v>
      </c>
      <c r="AJ101" s="44" t="s">
        <v>98</v>
      </c>
      <c r="AK101" s="44"/>
      <c r="AL101" s="44"/>
      <c r="AM101" s="52">
        <v>11300</v>
      </c>
      <c r="AN101" s="46">
        <v>8760</v>
      </c>
      <c r="AO101" s="44">
        <v>1.05</v>
      </c>
      <c r="AP101" s="44">
        <v>7.79</v>
      </c>
      <c r="AQ101" s="44">
        <v>4.33</v>
      </c>
      <c r="AR101" s="44" t="s">
        <v>98</v>
      </c>
      <c r="AS101" s="44"/>
      <c r="AT101" s="44"/>
      <c r="AU101" s="49">
        <v>11186</v>
      </c>
      <c r="AV101" s="49">
        <v>3400</v>
      </c>
      <c r="AW101" s="49"/>
      <c r="AX101" s="49"/>
      <c r="AY101" s="49"/>
      <c r="AZ101" s="49" t="s">
        <v>98</v>
      </c>
      <c r="BA101" s="49" t="s">
        <v>112</v>
      </c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</row>
    <row r="102" spans="1:98" ht="15.75" customHeight="1"/>
    <row r="103" spans="1:98" ht="15.75" customHeight="1"/>
    <row r="104" spans="1:98" ht="15.75" customHeight="1"/>
    <row r="105" spans="1:98" ht="15.75" customHeight="1"/>
    <row r="106" spans="1:98" ht="15.75" customHeight="1"/>
    <row r="107" spans="1:98" ht="15.75" customHeight="1"/>
    <row r="108" spans="1:98" ht="15.75" customHeight="1"/>
    <row r="109" spans="1:98" ht="15.75" customHeight="1"/>
    <row r="110" spans="1:98" ht="15.75" customHeight="1"/>
    <row r="111" spans="1:98" ht="15.75" customHeight="1"/>
    <row r="112" spans="1:9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P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" customHeight="1"/>
  <cols>
    <col min="1" max="6" width="12.6640625" customWidth="1"/>
    <col min="10" max="10" width="16.6640625" customWidth="1"/>
  </cols>
  <sheetData>
    <row r="1" spans="1:94" ht="57.75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7"/>
      <c r="S1" s="7" t="s">
        <v>17</v>
      </c>
      <c r="T1" s="7" t="s">
        <v>18</v>
      </c>
      <c r="U1" s="8" t="s">
        <v>19</v>
      </c>
      <c r="V1" s="8" t="s">
        <v>20</v>
      </c>
      <c r="W1" s="8" t="s">
        <v>21</v>
      </c>
      <c r="X1" s="7" t="s">
        <v>22</v>
      </c>
      <c r="Y1" s="7" t="s">
        <v>23</v>
      </c>
      <c r="Z1" s="7"/>
      <c r="AA1" s="7" t="s">
        <v>24</v>
      </c>
      <c r="AB1" s="7" t="s">
        <v>25</v>
      </c>
      <c r="AC1" s="8" t="s">
        <v>26</v>
      </c>
      <c r="AD1" s="8" t="s">
        <v>27</v>
      </c>
      <c r="AE1" s="8" t="s">
        <v>28</v>
      </c>
      <c r="AF1" s="7" t="s">
        <v>29</v>
      </c>
      <c r="AG1" s="7" t="s">
        <v>30</v>
      </c>
      <c r="AH1" s="7"/>
      <c r="AI1" s="7" t="s">
        <v>31</v>
      </c>
      <c r="AJ1" s="7" t="s">
        <v>32</v>
      </c>
      <c r="AK1" s="8" t="s">
        <v>33</v>
      </c>
      <c r="AL1" s="8" t="s">
        <v>34</v>
      </c>
      <c r="AM1" s="8" t="s">
        <v>35</v>
      </c>
      <c r="AN1" s="7" t="s">
        <v>36</v>
      </c>
      <c r="AO1" s="7" t="s">
        <v>37</v>
      </c>
      <c r="AP1" s="7"/>
      <c r="AQ1" s="7" t="s">
        <v>38</v>
      </c>
      <c r="AR1" s="7" t="s">
        <v>39</v>
      </c>
      <c r="AS1" s="8" t="s">
        <v>40</v>
      </c>
      <c r="AT1" s="8" t="s">
        <v>41</v>
      </c>
      <c r="AU1" s="8" t="s">
        <v>42</v>
      </c>
      <c r="AV1" s="7" t="s">
        <v>43</v>
      </c>
      <c r="AW1" s="7" t="s">
        <v>44</v>
      </c>
      <c r="AX1" s="7"/>
      <c r="AY1" s="7" t="s">
        <v>45</v>
      </c>
      <c r="AZ1" s="9" t="s">
        <v>46</v>
      </c>
      <c r="BA1" s="8" t="s">
        <v>47</v>
      </c>
      <c r="BB1" s="8" t="s">
        <v>48</v>
      </c>
      <c r="BC1" s="8" t="s">
        <v>49</v>
      </c>
      <c r="BD1" s="7" t="s">
        <v>50</v>
      </c>
      <c r="BE1" s="7" t="s">
        <v>51</v>
      </c>
      <c r="BF1" s="7"/>
      <c r="BG1" s="7" t="s">
        <v>52</v>
      </c>
      <c r="BH1" s="7" t="s">
        <v>53</v>
      </c>
      <c r="BI1" s="8" t="s">
        <v>54</v>
      </c>
      <c r="BJ1" s="8" t="s">
        <v>55</v>
      </c>
      <c r="BK1" s="8" t="s">
        <v>56</v>
      </c>
      <c r="BL1" s="7" t="s">
        <v>57</v>
      </c>
      <c r="BM1" s="7" t="s">
        <v>58</v>
      </c>
      <c r="BN1" s="7"/>
      <c r="BO1" s="7" t="s">
        <v>59</v>
      </c>
      <c r="BP1" s="7" t="s">
        <v>60</v>
      </c>
      <c r="BQ1" s="8" t="s">
        <v>61</v>
      </c>
      <c r="BR1" s="8" t="s">
        <v>62</v>
      </c>
      <c r="BS1" s="8" t="s">
        <v>63</v>
      </c>
      <c r="BT1" s="7" t="s">
        <v>64</v>
      </c>
      <c r="BU1" s="7" t="s">
        <v>65</v>
      </c>
      <c r="BV1" s="7"/>
      <c r="BW1" s="7" t="s">
        <v>66</v>
      </c>
      <c r="BX1" s="7" t="s">
        <v>67</v>
      </c>
      <c r="BY1" s="8" t="s">
        <v>68</v>
      </c>
      <c r="BZ1" s="8" t="s">
        <v>69</v>
      </c>
      <c r="CA1" s="8" t="s">
        <v>70</v>
      </c>
      <c r="CB1" s="7" t="s">
        <v>71</v>
      </c>
      <c r="CC1" s="7" t="s">
        <v>72</v>
      </c>
      <c r="CD1" s="7"/>
      <c r="CE1" s="7" t="s">
        <v>73</v>
      </c>
      <c r="CF1" s="7" t="s">
        <v>74</v>
      </c>
      <c r="CG1" s="8" t="s">
        <v>75</v>
      </c>
      <c r="CH1" s="8" t="s">
        <v>76</v>
      </c>
      <c r="CI1" s="8" t="s">
        <v>77</v>
      </c>
      <c r="CJ1" s="7" t="s">
        <v>78</v>
      </c>
      <c r="CK1" s="7" t="s">
        <v>79</v>
      </c>
      <c r="CL1" s="7"/>
      <c r="CM1" s="7" t="s">
        <v>80</v>
      </c>
      <c r="CN1" s="7" t="s">
        <v>81</v>
      </c>
      <c r="CO1" s="7" t="s">
        <v>82</v>
      </c>
      <c r="CP1" s="7"/>
    </row>
    <row r="2" spans="1:94" ht="15.75" customHeight="1">
      <c r="A2" s="1">
        <v>1</v>
      </c>
      <c r="B2" s="2">
        <v>20540</v>
      </c>
      <c r="C2" s="10">
        <v>45335</v>
      </c>
      <c r="D2" s="2">
        <v>4</v>
      </c>
      <c r="E2" s="2">
        <v>503</v>
      </c>
      <c r="F2" s="11">
        <v>1.22</v>
      </c>
      <c r="G2" s="11">
        <v>7.08</v>
      </c>
      <c r="H2" s="11">
        <v>5.09</v>
      </c>
      <c r="I2" s="11">
        <v>24.58</v>
      </c>
      <c r="J2" s="2" t="s">
        <v>83</v>
      </c>
      <c r="K2" s="2">
        <v>43314</v>
      </c>
      <c r="L2" s="2">
        <v>134</v>
      </c>
      <c r="M2" s="11">
        <v>1.33</v>
      </c>
      <c r="N2" s="11">
        <v>7.04</v>
      </c>
      <c r="O2" s="11">
        <v>5.18</v>
      </c>
      <c r="P2" s="2" t="s">
        <v>84</v>
      </c>
      <c r="Q2" s="2">
        <v>0</v>
      </c>
      <c r="R2" s="2"/>
      <c r="S2" s="2">
        <v>43587</v>
      </c>
      <c r="T2" s="2">
        <v>153</v>
      </c>
      <c r="U2" s="11">
        <v>1.22</v>
      </c>
      <c r="V2" s="11">
        <v>7.21</v>
      </c>
      <c r="W2" s="11">
        <v>4.6500000000000004</v>
      </c>
      <c r="X2" s="2" t="s">
        <v>84</v>
      </c>
      <c r="Y2" s="2">
        <v>0</v>
      </c>
      <c r="Z2" s="2"/>
      <c r="AA2" s="2">
        <v>43377</v>
      </c>
      <c r="AB2" s="2">
        <v>132</v>
      </c>
      <c r="AC2" s="11">
        <v>1.1599999999999999</v>
      </c>
      <c r="AD2" s="11">
        <v>6.99</v>
      </c>
      <c r="AE2" s="11">
        <v>5.71</v>
      </c>
      <c r="AF2" s="2" t="s">
        <v>84</v>
      </c>
      <c r="AG2" s="2">
        <v>0</v>
      </c>
      <c r="AH2" s="2"/>
      <c r="AI2" s="2">
        <v>43336</v>
      </c>
      <c r="AJ2" s="2">
        <v>84</v>
      </c>
      <c r="AK2" s="11">
        <v>1.07</v>
      </c>
      <c r="AL2" s="11">
        <v>7</v>
      </c>
      <c r="AM2" s="11">
        <v>5.15</v>
      </c>
      <c r="AN2" s="2" t="s">
        <v>84</v>
      </c>
      <c r="AO2" s="2">
        <v>0</v>
      </c>
      <c r="AP2" s="2"/>
      <c r="AQ2" s="2"/>
      <c r="AR2" s="2"/>
      <c r="AS2" s="11"/>
      <c r="AT2" s="11"/>
      <c r="AU2" s="11"/>
      <c r="AV2" s="2"/>
      <c r="AW2" s="2"/>
      <c r="AX2" s="2"/>
      <c r="AY2" s="2"/>
      <c r="AZ2" s="12"/>
      <c r="BA2" s="11"/>
      <c r="BB2" s="11"/>
      <c r="BC2" s="11"/>
      <c r="BD2" s="2"/>
      <c r="BE2" s="2"/>
      <c r="BF2" s="2"/>
      <c r="BG2" s="2"/>
      <c r="BH2" s="2"/>
      <c r="BI2" s="11"/>
      <c r="BJ2" s="11"/>
      <c r="BK2" s="11"/>
      <c r="BL2" s="2"/>
      <c r="BM2" s="2"/>
      <c r="BN2" s="2"/>
      <c r="BO2" s="2"/>
      <c r="BP2" s="2"/>
      <c r="BQ2" s="11"/>
      <c r="BR2" s="11"/>
      <c r="BS2" s="11"/>
      <c r="BT2" s="2"/>
      <c r="BU2" s="2"/>
      <c r="BV2" s="2"/>
      <c r="BW2" s="2"/>
      <c r="BX2" s="2"/>
      <c r="BY2" s="11"/>
      <c r="BZ2" s="11"/>
      <c r="CA2" s="11"/>
      <c r="CB2" s="2"/>
      <c r="CC2" s="2"/>
      <c r="CD2" s="2"/>
      <c r="CE2" s="2"/>
      <c r="CF2" s="2"/>
      <c r="CG2" s="11"/>
      <c r="CH2" s="11"/>
      <c r="CI2" s="11"/>
      <c r="CJ2" s="2"/>
      <c r="CK2" s="2"/>
      <c r="CL2" s="2"/>
      <c r="CM2" s="2">
        <f>(F2*4+G2*4+H2*9)*0.3</f>
        <v>23.702999999999999</v>
      </c>
      <c r="CN2" s="3">
        <f>(F2*4*0.8+G2*4+H2*9)*0.3</f>
        <v>23.4102</v>
      </c>
      <c r="CO2" s="2">
        <f t="shared" ref="CO2:CO51" si="0">(F2*4+7.5*4+H2*9)*0.3</f>
        <v>24.206999999999997</v>
      </c>
      <c r="CP2" s="2"/>
    </row>
    <row r="3" spans="1:94" ht="15.75" customHeight="1">
      <c r="A3" s="1">
        <v>2</v>
      </c>
      <c r="B3" s="2">
        <v>20541</v>
      </c>
      <c r="C3" s="10">
        <v>45335</v>
      </c>
      <c r="D3" s="2">
        <v>4</v>
      </c>
      <c r="E3" s="2">
        <v>418</v>
      </c>
      <c r="F3" s="11">
        <v>1.2</v>
      </c>
      <c r="G3" s="11">
        <v>7.01</v>
      </c>
      <c r="H3" s="11">
        <v>4.91</v>
      </c>
      <c r="I3" s="11">
        <v>23.97</v>
      </c>
      <c r="J3" s="2" t="s">
        <v>83</v>
      </c>
      <c r="K3" s="2">
        <v>43587</v>
      </c>
      <c r="L3" s="2">
        <v>134</v>
      </c>
      <c r="M3" s="11">
        <v>1.24</v>
      </c>
      <c r="N3" s="11">
        <v>7.19</v>
      </c>
      <c r="O3" s="11">
        <v>4.7699999999999996</v>
      </c>
      <c r="P3" s="2" t="s">
        <v>84</v>
      </c>
      <c r="Q3" s="2">
        <v>0</v>
      </c>
      <c r="R3" s="2"/>
      <c r="S3" s="2">
        <v>43314</v>
      </c>
      <c r="T3" s="2">
        <v>123</v>
      </c>
      <c r="U3" s="11">
        <v>1.2</v>
      </c>
      <c r="V3" s="11">
        <v>7.07</v>
      </c>
      <c r="W3" s="11">
        <v>4.6500000000000004</v>
      </c>
      <c r="X3" s="2" t="s">
        <v>84</v>
      </c>
      <c r="Y3" s="2">
        <v>0</v>
      </c>
      <c r="Z3" s="2"/>
      <c r="AA3" s="2">
        <v>43023</v>
      </c>
      <c r="AB3" s="2">
        <v>79</v>
      </c>
      <c r="AC3" s="11">
        <v>1.19</v>
      </c>
      <c r="AD3" s="11">
        <v>6.77</v>
      </c>
      <c r="AE3" s="11">
        <v>5.85</v>
      </c>
      <c r="AF3" s="2" t="s">
        <v>84</v>
      </c>
      <c r="AG3" s="2">
        <v>0</v>
      </c>
      <c r="AH3" s="2"/>
      <c r="AI3" s="2">
        <v>43630</v>
      </c>
      <c r="AJ3" s="2">
        <v>81</v>
      </c>
      <c r="AK3" s="11">
        <v>1.1000000000000001</v>
      </c>
      <c r="AL3" s="11">
        <v>6.67</v>
      </c>
      <c r="AM3" s="11">
        <v>4.8499999999999996</v>
      </c>
      <c r="AN3" s="2" t="s">
        <v>84</v>
      </c>
      <c r="AO3" s="2">
        <v>0</v>
      </c>
      <c r="AP3" s="2"/>
      <c r="AQ3" s="2"/>
      <c r="AR3" s="2"/>
      <c r="AS3" s="11"/>
      <c r="AT3" s="11"/>
      <c r="AU3" s="11"/>
      <c r="AV3" s="2"/>
      <c r="AW3" s="2"/>
      <c r="AX3" s="2"/>
      <c r="AY3" s="2"/>
      <c r="AZ3" s="12"/>
      <c r="BA3" s="11"/>
      <c r="BB3" s="11"/>
      <c r="BC3" s="11"/>
      <c r="BD3" s="2"/>
      <c r="BE3" s="2"/>
      <c r="BF3" s="2"/>
      <c r="BG3" s="2"/>
      <c r="BH3" s="2"/>
      <c r="BI3" s="11"/>
      <c r="BJ3" s="11"/>
      <c r="BK3" s="11"/>
      <c r="BL3" s="2"/>
      <c r="BM3" s="2"/>
      <c r="BN3" s="2"/>
      <c r="BO3" s="2"/>
      <c r="BP3" s="2"/>
      <c r="BQ3" s="11"/>
      <c r="BR3" s="11"/>
      <c r="BS3" s="11"/>
      <c r="BT3" s="2"/>
      <c r="BU3" s="2"/>
      <c r="BV3" s="2"/>
      <c r="BW3" s="2"/>
      <c r="BX3" s="2"/>
      <c r="BY3" s="11"/>
      <c r="BZ3" s="11"/>
      <c r="CA3" s="11"/>
      <c r="CB3" s="2"/>
      <c r="CC3" s="2"/>
      <c r="CD3" s="2"/>
      <c r="CE3" s="2"/>
      <c r="CF3" s="2"/>
      <c r="CG3" s="11"/>
      <c r="CH3" s="11"/>
      <c r="CI3" s="11"/>
      <c r="CJ3" s="2"/>
      <c r="CK3" s="2"/>
      <c r="CL3" s="2"/>
      <c r="CM3" s="2">
        <f t="shared" ref="CM3:CM51" si="1">(F3*4+G3*4+H3*9)</f>
        <v>77.03</v>
      </c>
      <c r="CN3" s="3">
        <f t="shared" ref="CN3:CN51" si="2">(F3*4/0.8+G3*4+H3*9)</f>
        <v>78.22999999999999</v>
      </c>
      <c r="CO3" s="2">
        <f t="shared" si="0"/>
        <v>23.696999999999999</v>
      </c>
      <c r="CP3" s="2"/>
    </row>
    <row r="4" spans="1:94" ht="15.75" customHeight="1">
      <c r="A4" s="1">
        <v>3</v>
      </c>
      <c r="B4" s="2">
        <v>20542</v>
      </c>
      <c r="C4" s="10">
        <v>45335</v>
      </c>
      <c r="D4" s="2">
        <v>5</v>
      </c>
      <c r="E4" s="2">
        <v>529</v>
      </c>
      <c r="F4" s="11">
        <v>1.0900000000000001</v>
      </c>
      <c r="G4" s="11">
        <v>7.22</v>
      </c>
      <c r="H4" s="11">
        <v>3.62</v>
      </c>
      <c r="I4" s="11">
        <v>20.45</v>
      </c>
      <c r="J4" s="2" t="s">
        <v>83</v>
      </c>
      <c r="K4" s="2">
        <v>43377</v>
      </c>
      <c r="L4" s="2">
        <v>122</v>
      </c>
      <c r="M4" s="11">
        <v>1.22</v>
      </c>
      <c r="N4" s="11">
        <v>6.95</v>
      </c>
      <c r="O4" s="11">
        <v>5.79</v>
      </c>
      <c r="P4" s="2" t="s">
        <v>84</v>
      </c>
      <c r="Q4" s="2">
        <v>0</v>
      </c>
      <c r="R4" s="2"/>
      <c r="S4" s="2">
        <v>43641</v>
      </c>
      <c r="T4" s="2">
        <v>141</v>
      </c>
      <c r="U4" s="11">
        <v>1.1000000000000001</v>
      </c>
      <c r="V4" s="11">
        <v>7.27</v>
      </c>
      <c r="W4" s="11">
        <v>3.52</v>
      </c>
      <c r="X4" s="2" t="s">
        <v>84</v>
      </c>
      <c r="Y4" s="2">
        <v>0</v>
      </c>
      <c r="Z4" s="2"/>
      <c r="AA4" s="2">
        <v>44046</v>
      </c>
      <c r="AB4" s="2">
        <v>104</v>
      </c>
      <c r="AC4" s="11">
        <v>1.0900000000000001</v>
      </c>
      <c r="AD4" s="11">
        <v>7.34</v>
      </c>
      <c r="AE4" s="11">
        <v>2.37</v>
      </c>
      <c r="AF4" s="2" t="s">
        <v>84</v>
      </c>
      <c r="AG4" s="2">
        <v>0</v>
      </c>
      <c r="AH4" s="2"/>
      <c r="AI4" s="2">
        <v>44033</v>
      </c>
      <c r="AJ4" s="2">
        <v>111</v>
      </c>
      <c r="AK4" s="11">
        <v>0.93</v>
      </c>
      <c r="AL4" s="11">
        <v>7.24</v>
      </c>
      <c r="AM4" s="11">
        <v>2.88</v>
      </c>
      <c r="AN4" s="2" t="s">
        <v>84</v>
      </c>
      <c r="AO4" s="2">
        <v>0</v>
      </c>
      <c r="AP4" s="2"/>
      <c r="AQ4" s="2">
        <v>43669</v>
      </c>
      <c r="AR4" s="2">
        <v>50</v>
      </c>
      <c r="AS4" s="11">
        <v>1.03</v>
      </c>
      <c r="AT4" s="11">
        <v>6.96</v>
      </c>
      <c r="AU4" s="11">
        <v>3.3</v>
      </c>
      <c r="AV4" s="2" t="s">
        <v>84</v>
      </c>
      <c r="AW4" s="2">
        <v>0</v>
      </c>
      <c r="AX4" s="2"/>
      <c r="AY4" s="2"/>
      <c r="AZ4" s="12"/>
      <c r="BA4" s="11"/>
      <c r="BB4" s="11"/>
      <c r="BC4" s="11"/>
      <c r="BD4" s="2"/>
      <c r="BE4" s="2"/>
      <c r="BF4" s="2"/>
      <c r="BG4" s="2"/>
      <c r="BH4" s="2"/>
      <c r="BI4" s="11"/>
      <c r="BJ4" s="11"/>
      <c r="BK4" s="11"/>
      <c r="BL4" s="2"/>
      <c r="BM4" s="2"/>
      <c r="BN4" s="2"/>
      <c r="BO4" s="2"/>
      <c r="BP4" s="2"/>
      <c r="BQ4" s="11"/>
      <c r="BR4" s="11"/>
      <c r="BS4" s="11"/>
      <c r="BT4" s="2"/>
      <c r="BU4" s="2"/>
      <c r="BV4" s="2"/>
      <c r="BW4" s="2"/>
      <c r="BX4" s="2"/>
      <c r="BY4" s="11"/>
      <c r="BZ4" s="11"/>
      <c r="CA4" s="11"/>
      <c r="CB4" s="2"/>
      <c r="CC4" s="2"/>
      <c r="CD4" s="2"/>
      <c r="CE4" s="2"/>
      <c r="CF4" s="2"/>
      <c r="CG4" s="11"/>
      <c r="CH4" s="11"/>
      <c r="CI4" s="11"/>
      <c r="CJ4" s="2"/>
      <c r="CK4" s="2"/>
      <c r="CL4" s="2"/>
      <c r="CM4" s="2">
        <f t="shared" si="1"/>
        <v>65.819999999999993</v>
      </c>
      <c r="CN4" s="3">
        <f t="shared" si="2"/>
        <v>66.91</v>
      </c>
      <c r="CO4" s="2">
        <f t="shared" si="0"/>
        <v>20.081999999999997</v>
      </c>
      <c r="CP4" s="2"/>
    </row>
    <row r="5" spans="1:94" ht="15.75" customHeight="1">
      <c r="A5" s="1">
        <v>4</v>
      </c>
      <c r="B5" s="2">
        <v>20543</v>
      </c>
      <c r="C5" s="10">
        <v>45335</v>
      </c>
      <c r="D5" s="2">
        <v>5</v>
      </c>
      <c r="E5" s="2">
        <v>585</v>
      </c>
      <c r="F5" s="11">
        <v>1.18</v>
      </c>
      <c r="G5" s="11">
        <v>7.08</v>
      </c>
      <c r="H5" s="11">
        <v>3.44</v>
      </c>
      <c r="I5" s="11">
        <v>19.940000000000001</v>
      </c>
      <c r="J5" s="2" t="s">
        <v>85</v>
      </c>
      <c r="K5" s="2">
        <v>44187</v>
      </c>
      <c r="L5" s="2">
        <v>114</v>
      </c>
      <c r="M5" s="11">
        <v>1.34</v>
      </c>
      <c r="N5" s="11">
        <v>7.3</v>
      </c>
      <c r="O5" s="11">
        <v>2.71</v>
      </c>
      <c r="P5" s="2" t="s">
        <v>86</v>
      </c>
      <c r="Q5" s="2">
        <v>0</v>
      </c>
      <c r="R5" s="2"/>
      <c r="S5" s="2">
        <v>43709</v>
      </c>
      <c r="T5" s="2">
        <v>96</v>
      </c>
      <c r="U5" s="11">
        <v>1.02</v>
      </c>
      <c r="V5" s="11">
        <v>6.94</v>
      </c>
      <c r="W5" s="11">
        <v>4.45</v>
      </c>
      <c r="X5" s="2" t="s">
        <v>86</v>
      </c>
      <c r="Y5" s="2">
        <v>0</v>
      </c>
      <c r="Z5" s="2"/>
      <c r="AA5" s="2">
        <v>44033</v>
      </c>
      <c r="AB5" s="2">
        <v>114</v>
      </c>
      <c r="AC5" s="11">
        <v>1.07</v>
      </c>
      <c r="AD5" s="11">
        <v>7.28</v>
      </c>
      <c r="AE5" s="11">
        <v>3.08</v>
      </c>
      <c r="AF5" s="2" t="s">
        <v>86</v>
      </c>
      <c r="AG5" s="2">
        <v>0</v>
      </c>
      <c r="AH5" s="2"/>
      <c r="AI5" s="2">
        <v>44184</v>
      </c>
      <c r="AJ5" s="2">
        <v>143</v>
      </c>
      <c r="AK5" s="11">
        <v>1.22</v>
      </c>
      <c r="AL5" s="11">
        <v>6.91</v>
      </c>
      <c r="AM5" s="11">
        <v>4.13</v>
      </c>
      <c r="AN5" s="2" t="s">
        <v>86</v>
      </c>
      <c r="AO5" s="2">
        <v>0</v>
      </c>
      <c r="AP5" s="2"/>
      <c r="AQ5" s="2">
        <v>44061</v>
      </c>
      <c r="AR5" s="2">
        <v>119</v>
      </c>
      <c r="AS5" s="11">
        <v>1.1000000000000001</v>
      </c>
      <c r="AT5" s="11">
        <v>7.04</v>
      </c>
      <c r="AU5" s="11">
        <v>3.04</v>
      </c>
      <c r="AV5" s="2" t="s">
        <v>86</v>
      </c>
      <c r="AW5" s="2">
        <v>0</v>
      </c>
      <c r="AX5" s="2"/>
      <c r="AY5" s="2"/>
      <c r="AZ5" s="12"/>
      <c r="BA5" s="11"/>
      <c r="BB5" s="11"/>
      <c r="BC5" s="11"/>
      <c r="BD5" s="2"/>
      <c r="BE5" s="2"/>
      <c r="BF5" s="2"/>
      <c r="BG5" s="2"/>
      <c r="BH5" s="2"/>
      <c r="BI5" s="11"/>
      <c r="BJ5" s="11"/>
      <c r="BK5" s="11"/>
      <c r="BL5" s="2"/>
      <c r="BM5" s="2"/>
      <c r="BN5" s="2"/>
      <c r="BO5" s="2"/>
      <c r="BP5" s="2"/>
      <c r="BQ5" s="11"/>
      <c r="BR5" s="11"/>
      <c r="BS5" s="11"/>
      <c r="BT5" s="2"/>
      <c r="BU5" s="2"/>
      <c r="BV5" s="2"/>
      <c r="BW5" s="2"/>
      <c r="BX5" s="2"/>
      <c r="BY5" s="11"/>
      <c r="BZ5" s="11"/>
      <c r="CA5" s="11"/>
      <c r="CB5" s="2"/>
      <c r="CC5" s="2"/>
      <c r="CD5" s="2"/>
      <c r="CE5" s="2"/>
      <c r="CF5" s="2"/>
      <c r="CG5" s="11"/>
      <c r="CH5" s="11"/>
      <c r="CI5" s="11"/>
      <c r="CJ5" s="2"/>
      <c r="CK5" s="2"/>
      <c r="CL5" s="2"/>
      <c r="CM5" s="2">
        <f t="shared" si="1"/>
        <v>64</v>
      </c>
      <c r="CN5" s="3">
        <f t="shared" si="2"/>
        <v>65.180000000000007</v>
      </c>
      <c r="CO5" s="2">
        <f t="shared" si="0"/>
        <v>19.704000000000001</v>
      </c>
      <c r="CP5" s="2"/>
    </row>
    <row r="6" spans="1:94" ht="15.75" customHeight="1">
      <c r="A6" s="1">
        <v>5</v>
      </c>
      <c r="B6" s="2">
        <v>20550</v>
      </c>
      <c r="C6" s="10">
        <v>45336</v>
      </c>
      <c r="D6" s="2">
        <v>4</v>
      </c>
      <c r="E6" s="2">
        <v>523</v>
      </c>
      <c r="F6" s="11">
        <v>1.24</v>
      </c>
      <c r="G6" s="11">
        <v>7.16</v>
      </c>
      <c r="H6" s="11">
        <v>3.36</v>
      </c>
      <c r="I6" s="11">
        <v>19.91</v>
      </c>
      <c r="J6" s="2" t="s">
        <v>87</v>
      </c>
      <c r="K6" s="2">
        <v>44246</v>
      </c>
      <c r="L6" s="2">
        <v>115</v>
      </c>
      <c r="M6" s="11">
        <v>1.52</v>
      </c>
      <c r="N6" s="11">
        <v>7.37</v>
      </c>
      <c r="O6" s="11">
        <v>2.37</v>
      </c>
      <c r="P6" s="2" t="s">
        <v>86</v>
      </c>
      <c r="Q6" s="2">
        <v>0</v>
      </c>
      <c r="R6" s="2"/>
      <c r="S6" s="2">
        <v>43949</v>
      </c>
      <c r="T6" s="2">
        <v>132</v>
      </c>
      <c r="U6" s="11">
        <v>1.03</v>
      </c>
      <c r="V6" s="11">
        <v>6.92</v>
      </c>
      <c r="W6" s="11">
        <v>3.53</v>
      </c>
      <c r="X6" s="2" t="s">
        <v>86</v>
      </c>
      <c r="Y6" s="2">
        <v>0</v>
      </c>
      <c r="Z6" s="2"/>
      <c r="AA6" s="2">
        <v>44153</v>
      </c>
      <c r="AB6" s="2">
        <v>143</v>
      </c>
      <c r="AC6" s="11">
        <v>1.19</v>
      </c>
      <c r="AD6" s="11">
        <v>7.19</v>
      </c>
      <c r="AE6" s="11">
        <v>3.71</v>
      </c>
      <c r="AF6" s="2" t="s">
        <v>86</v>
      </c>
      <c r="AG6" s="2">
        <v>0</v>
      </c>
      <c r="AH6" s="2"/>
      <c r="AI6" s="2">
        <v>44212</v>
      </c>
      <c r="AJ6" s="2">
        <v>133</v>
      </c>
      <c r="AK6" s="11">
        <v>1.21</v>
      </c>
      <c r="AL6" s="11">
        <v>7.22</v>
      </c>
      <c r="AM6" s="11">
        <v>3.83</v>
      </c>
      <c r="AN6" s="2" t="s">
        <v>86</v>
      </c>
      <c r="AO6" s="2">
        <v>0</v>
      </c>
      <c r="AP6" s="2"/>
      <c r="AQ6" s="2"/>
      <c r="AR6" s="2"/>
      <c r="AS6" s="11"/>
      <c r="AT6" s="11"/>
      <c r="AU6" s="11"/>
      <c r="AV6" s="2"/>
      <c r="AW6" s="2"/>
      <c r="AX6" s="2"/>
      <c r="AY6" s="2"/>
      <c r="AZ6" s="12"/>
      <c r="BA6" s="11"/>
      <c r="BB6" s="11"/>
      <c r="BC6" s="11"/>
      <c r="BD6" s="2"/>
      <c r="BE6" s="2"/>
      <c r="BF6" s="2"/>
      <c r="BG6" s="2"/>
      <c r="BH6" s="2"/>
      <c r="BI6" s="11"/>
      <c r="BJ6" s="11"/>
      <c r="BK6" s="11"/>
      <c r="BL6" s="2"/>
      <c r="BM6" s="2"/>
      <c r="BN6" s="2"/>
      <c r="BO6" s="2"/>
      <c r="BP6" s="2"/>
      <c r="BQ6" s="11"/>
      <c r="BR6" s="11"/>
      <c r="BS6" s="11"/>
      <c r="BT6" s="2"/>
      <c r="BU6" s="2"/>
      <c r="BV6" s="2"/>
      <c r="BW6" s="2"/>
      <c r="BX6" s="2"/>
      <c r="BY6" s="11"/>
      <c r="BZ6" s="11"/>
      <c r="CA6" s="11"/>
      <c r="CB6" s="2"/>
      <c r="CC6" s="2"/>
      <c r="CD6" s="2"/>
      <c r="CE6" s="2"/>
      <c r="CF6" s="2"/>
      <c r="CG6" s="11"/>
      <c r="CH6" s="11"/>
      <c r="CI6" s="11"/>
      <c r="CJ6" s="2"/>
      <c r="CK6" s="2"/>
      <c r="CL6" s="2"/>
      <c r="CM6" s="2">
        <f t="shared" si="1"/>
        <v>63.84</v>
      </c>
      <c r="CN6" s="3">
        <f t="shared" si="2"/>
        <v>65.08</v>
      </c>
      <c r="CO6" s="2">
        <f t="shared" si="0"/>
        <v>19.559999999999999</v>
      </c>
      <c r="CP6" s="2"/>
    </row>
    <row r="7" spans="1:94" ht="15.75" customHeight="1">
      <c r="A7" s="1">
        <v>6</v>
      </c>
      <c r="B7" s="2">
        <v>20551</v>
      </c>
      <c r="C7" s="10">
        <v>45336</v>
      </c>
      <c r="D7" s="2">
        <v>4</v>
      </c>
      <c r="E7" s="2">
        <v>549</v>
      </c>
      <c r="F7" s="11">
        <v>1.26</v>
      </c>
      <c r="G7" s="11">
        <v>7.21</v>
      </c>
      <c r="H7" s="11">
        <v>3.42</v>
      </c>
      <c r="I7" s="11">
        <v>20.170000000000002</v>
      </c>
      <c r="J7" s="2" t="s">
        <v>85</v>
      </c>
      <c r="K7" s="2">
        <v>44198</v>
      </c>
      <c r="L7" s="2">
        <v>149</v>
      </c>
      <c r="M7" s="11">
        <v>1.43</v>
      </c>
      <c r="N7" s="11">
        <v>7.12</v>
      </c>
      <c r="O7" s="11">
        <v>3.78</v>
      </c>
      <c r="P7" s="2" t="s">
        <v>86</v>
      </c>
      <c r="Q7" s="2">
        <v>0</v>
      </c>
      <c r="R7" s="2"/>
      <c r="S7" s="2">
        <v>44187</v>
      </c>
      <c r="T7" s="2">
        <v>136</v>
      </c>
      <c r="U7" s="11">
        <v>1.33</v>
      </c>
      <c r="V7" s="11">
        <v>7.3</v>
      </c>
      <c r="W7" s="11">
        <v>2.77</v>
      </c>
      <c r="X7" s="2" t="s">
        <v>86</v>
      </c>
      <c r="Y7" s="2">
        <v>0</v>
      </c>
      <c r="Z7" s="2"/>
      <c r="AA7" s="2">
        <v>43949</v>
      </c>
      <c r="AB7" s="2">
        <v>129</v>
      </c>
      <c r="AC7" s="11">
        <v>1.02</v>
      </c>
      <c r="AD7" s="11">
        <v>7.14</v>
      </c>
      <c r="AE7" s="11">
        <v>3.38</v>
      </c>
      <c r="AF7" s="2" t="s">
        <v>86</v>
      </c>
      <c r="AG7" s="2">
        <v>0</v>
      </c>
      <c r="AH7" s="2"/>
      <c r="AI7" s="2">
        <v>44212</v>
      </c>
      <c r="AJ7" s="2">
        <v>135</v>
      </c>
      <c r="AK7" s="11">
        <v>1.25</v>
      </c>
      <c r="AL7" s="11">
        <v>7.21</v>
      </c>
      <c r="AM7" s="11">
        <v>3.77</v>
      </c>
      <c r="AN7" s="2" t="s">
        <v>86</v>
      </c>
      <c r="AO7" s="2">
        <v>0</v>
      </c>
      <c r="AP7" s="2"/>
      <c r="AQ7" s="2"/>
      <c r="AR7" s="2"/>
      <c r="AS7" s="11"/>
      <c r="AT7" s="11"/>
      <c r="AU7" s="11"/>
      <c r="AV7" s="2"/>
      <c r="AW7" s="2"/>
      <c r="AX7" s="2"/>
      <c r="AY7" s="2"/>
      <c r="AZ7" s="12"/>
      <c r="BA7" s="11"/>
      <c r="BB7" s="11"/>
      <c r="BC7" s="11"/>
      <c r="BD7" s="2"/>
      <c r="BE7" s="2"/>
      <c r="BF7" s="2"/>
      <c r="BG7" s="2"/>
      <c r="BH7" s="2"/>
      <c r="BI7" s="11"/>
      <c r="BJ7" s="11"/>
      <c r="BK7" s="11"/>
      <c r="BL7" s="2"/>
      <c r="BM7" s="2"/>
      <c r="BN7" s="2"/>
      <c r="BO7" s="2"/>
      <c r="BP7" s="2"/>
      <c r="BQ7" s="11"/>
      <c r="BR7" s="11"/>
      <c r="BS7" s="11"/>
      <c r="BT7" s="2"/>
      <c r="BU7" s="2"/>
      <c r="BV7" s="2"/>
      <c r="BW7" s="2"/>
      <c r="BX7" s="2"/>
      <c r="BY7" s="11"/>
      <c r="BZ7" s="11"/>
      <c r="CA7" s="11"/>
      <c r="CB7" s="2"/>
      <c r="CC7" s="2"/>
      <c r="CD7" s="2"/>
      <c r="CE7" s="2"/>
      <c r="CF7" s="2"/>
      <c r="CG7" s="11"/>
      <c r="CH7" s="11"/>
      <c r="CI7" s="11"/>
      <c r="CJ7" s="2"/>
      <c r="CK7" s="2"/>
      <c r="CL7" s="2"/>
      <c r="CM7" s="2">
        <f t="shared" si="1"/>
        <v>64.66</v>
      </c>
      <c r="CN7" s="3">
        <f t="shared" si="2"/>
        <v>65.92</v>
      </c>
      <c r="CO7" s="2">
        <f t="shared" si="0"/>
        <v>19.745999999999999</v>
      </c>
      <c r="CP7" s="2"/>
    </row>
    <row r="8" spans="1:94" ht="15.75" customHeight="1">
      <c r="A8" s="1">
        <v>7</v>
      </c>
      <c r="B8" s="2">
        <v>20552</v>
      </c>
      <c r="C8" s="10">
        <v>45336</v>
      </c>
      <c r="D8" s="2">
        <v>6</v>
      </c>
      <c r="E8" s="2">
        <v>591</v>
      </c>
      <c r="F8" s="11">
        <v>1.1399999999999999</v>
      </c>
      <c r="G8" s="11">
        <v>6.97</v>
      </c>
      <c r="H8" s="11">
        <v>3.51</v>
      </c>
      <c r="I8" s="11">
        <v>19.93</v>
      </c>
      <c r="J8" s="2" t="s">
        <v>88</v>
      </c>
      <c r="K8" s="2">
        <v>43314</v>
      </c>
      <c r="L8" s="2">
        <v>48</v>
      </c>
      <c r="M8" s="11">
        <v>1.36</v>
      </c>
      <c r="N8" s="11">
        <v>6.98</v>
      </c>
      <c r="O8" s="11">
        <v>5</v>
      </c>
      <c r="P8" s="2" t="s">
        <v>84</v>
      </c>
      <c r="Q8" s="2">
        <v>0</v>
      </c>
      <c r="R8" s="2"/>
      <c r="S8" s="2">
        <v>43026</v>
      </c>
      <c r="T8" s="2">
        <v>137</v>
      </c>
      <c r="U8" s="11">
        <v>0.96</v>
      </c>
      <c r="V8" s="11">
        <v>6.88</v>
      </c>
      <c r="W8" s="11">
        <v>4.83</v>
      </c>
      <c r="X8" s="2" t="s">
        <v>84</v>
      </c>
      <c r="Y8" s="2">
        <v>0</v>
      </c>
      <c r="Z8" s="2"/>
      <c r="AA8" s="2">
        <v>43661</v>
      </c>
      <c r="AB8" s="2">
        <v>139</v>
      </c>
      <c r="AC8" s="11">
        <v>1.27</v>
      </c>
      <c r="AD8" s="11">
        <v>6.97</v>
      </c>
      <c r="AE8" s="11">
        <v>2.76</v>
      </c>
      <c r="AF8" s="2" t="s">
        <v>84</v>
      </c>
      <c r="AG8" s="2">
        <v>0</v>
      </c>
      <c r="AH8" s="2"/>
      <c r="AI8" s="2">
        <v>44121</v>
      </c>
      <c r="AJ8" s="2">
        <v>27</v>
      </c>
      <c r="AK8" s="11">
        <v>1.05</v>
      </c>
      <c r="AL8" s="11">
        <v>7.11</v>
      </c>
      <c r="AM8" s="11">
        <v>2.68</v>
      </c>
      <c r="AN8" s="2" t="s">
        <v>84</v>
      </c>
      <c r="AO8" s="2">
        <v>0</v>
      </c>
      <c r="AP8" s="2"/>
      <c r="AQ8" s="2">
        <v>43743</v>
      </c>
      <c r="AR8" s="2">
        <v>130</v>
      </c>
      <c r="AS8" s="11">
        <v>1</v>
      </c>
      <c r="AT8" s="11">
        <v>6.91</v>
      </c>
      <c r="AU8" s="11">
        <v>2.74</v>
      </c>
      <c r="AV8" s="2" t="s">
        <v>84</v>
      </c>
      <c r="AW8" s="2">
        <v>0</v>
      </c>
      <c r="AX8" s="2"/>
      <c r="AY8" s="2">
        <v>43732</v>
      </c>
      <c r="AZ8" s="12">
        <v>110</v>
      </c>
      <c r="BA8" s="11">
        <v>0.97</v>
      </c>
      <c r="BB8" s="11">
        <v>6.78</v>
      </c>
      <c r="BC8" s="11">
        <v>3.57</v>
      </c>
      <c r="BD8" s="2" t="s">
        <v>84</v>
      </c>
      <c r="BE8" s="2">
        <v>0</v>
      </c>
      <c r="BF8" s="2"/>
      <c r="BG8" s="2"/>
      <c r="BH8" s="2"/>
      <c r="BI8" s="11"/>
      <c r="BJ8" s="11"/>
      <c r="BK8" s="11"/>
      <c r="BL8" s="2"/>
      <c r="BM8" s="2"/>
      <c r="BN8" s="2"/>
      <c r="BO8" s="2"/>
      <c r="BP8" s="2"/>
      <c r="BQ8" s="11"/>
      <c r="BR8" s="11"/>
      <c r="BS8" s="11"/>
      <c r="BT8" s="2"/>
      <c r="BU8" s="2"/>
      <c r="BV8" s="2"/>
      <c r="BW8" s="2"/>
      <c r="BX8" s="2"/>
      <c r="BY8" s="11"/>
      <c r="BZ8" s="11"/>
      <c r="CA8" s="11"/>
      <c r="CB8" s="2"/>
      <c r="CC8" s="2"/>
      <c r="CD8" s="2"/>
      <c r="CE8" s="2"/>
      <c r="CF8" s="2"/>
      <c r="CG8" s="11"/>
      <c r="CH8" s="11"/>
      <c r="CI8" s="11"/>
      <c r="CJ8" s="2"/>
      <c r="CK8" s="2"/>
      <c r="CL8" s="2"/>
      <c r="CM8" s="2">
        <f t="shared" si="1"/>
        <v>64.03</v>
      </c>
      <c r="CN8" s="3">
        <f t="shared" si="2"/>
        <v>65.169999999999987</v>
      </c>
      <c r="CO8" s="2">
        <f t="shared" si="0"/>
        <v>19.845000000000002</v>
      </c>
      <c r="CP8" s="2"/>
    </row>
    <row r="9" spans="1:94" ht="15.75" customHeight="1">
      <c r="A9" s="1">
        <v>8</v>
      </c>
      <c r="B9" s="2">
        <v>20553</v>
      </c>
      <c r="C9" s="10">
        <v>45336</v>
      </c>
      <c r="D9" s="2">
        <v>5</v>
      </c>
      <c r="E9" s="2">
        <v>590</v>
      </c>
      <c r="F9" s="11">
        <v>1.07</v>
      </c>
      <c r="G9" s="11">
        <v>7.09</v>
      </c>
      <c r="H9" s="11">
        <v>3.76</v>
      </c>
      <c r="I9" s="11">
        <v>20.65</v>
      </c>
      <c r="J9" s="2" t="s">
        <v>88</v>
      </c>
      <c r="K9" s="2">
        <v>43661</v>
      </c>
      <c r="L9" s="2">
        <v>144</v>
      </c>
      <c r="M9" s="11">
        <v>1.25</v>
      </c>
      <c r="N9" s="11">
        <v>6.97</v>
      </c>
      <c r="O9" s="11">
        <v>3.03</v>
      </c>
      <c r="P9" s="2" t="s">
        <v>84</v>
      </c>
      <c r="Q9" s="2">
        <v>0</v>
      </c>
      <c r="R9" s="2"/>
      <c r="S9" s="2">
        <v>43519</v>
      </c>
      <c r="T9" s="2">
        <v>142</v>
      </c>
      <c r="U9" s="11">
        <v>0.91</v>
      </c>
      <c r="V9" s="11">
        <v>7.15</v>
      </c>
      <c r="W9" s="11">
        <v>3.62</v>
      </c>
      <c r="X9" s="2" t="s">
        <v>84</v>
      </c>
      <c r="Y9" s="2">
        <v>0</v>
      </c>
      <c r="Z9" s="2"/>
      <c r="AA9" s="2">
        <v>43543</v>
      </c>
      <c r="AB9" s="2">
        <v>112</v>
      </c>
      <c r="AC9" s="11">
        <v>0.97</v>
      </c>
      <c r="AD9" s="11">
        <v>7.07</v>
      </c>
      <c r="AE9" s="11">
        <v>3.56</v>
      </c>
      <c r="AF9" s="2" t="s">
        <v>84</v>
      </c>
      <c r="AG9" s="2">
        <v>0</v>
      </c>
      <c r="AH9" s="2"/>
      <c r="AI9" s="2">
        <v>43377</v>
      </c>
      <c r="AJ9" s="2">
        <v>123</v>
      </c>
      <c r="AK9" s="11">
        <v>1.1599999999999999</v>
      </c>
      <c r="AL9" s="11">
        <v>6.93</v>
      </c>
      <c r="AM9" s="11">
        <v>5.57</v>
      </c>
      <c r="AN9" s="2" t="s">
        <v>84</v>
      </c>
      <c r="AO9" s="2">
        <v>0</v>
      </c>
      <c r="AP9" s="2"/>
      <c r="AQ9" s="2">
        <v>43709</v>
      </c>
      <c r="AR9" s="2">
        <v>70</v>
      </c>
      <c r="AS9" s="11">
        <v>0.98</v>
      </c>
      <c r="AT9" s="11">
        <v>7.13</v>
      </c>
      <c r="AU9" s="11">
        <v>3.42</v>
      </c>
      <c r="AV9" s="2" t="s">
        <v>84</v>
      </c>
      <c r="AW9" s="2">
        <v>0</v>
      </c>
      <c r="AX9" s="2"/>
      <c r="AY9" s="2"/>
      <c r="AZ9" s="12"/>
      <c r="BA9" s="11"/>
      <c r="BB9" s="11"/>
      <c r="BC9" s="11"/>
      <c r="BD9" s="2"/>
      <c r="BE9" s="2"/>
      <c r="BF9" s="2"/>
      <c r="BG9" s="2"/>
      <c r="BH9" s="2"/>
      <c r="BI9" s="11"/>
      <c r="BJ9" s="11"/>
      <c r="BK9" s="11"/>
      <c r="BL9" s="2"/>
      <c r="BM9" s="2"/>
      <c r="BN9" s="2"/>
      <c r="BO9" s="2"/>
      <c r="BP9" s="2"/>
      <c r="BQ9" s="11"/>
      <c r="BR9" s="11"/>
      <c r="BS9" s="11"/>
      <c r="BT9" s="2"/>
      <c r="BU9" s="2"/>
      <c r="BV9" s="2"/>
      <c r="BW9" s="2"/>
      <c r="BX9" s="2"/>
      <c r="BY9" s="11"/>
      <c r="BZ9" s="11"/>
      <c r="CA9" s="11"/>
      <c r="CB9" s="2"/>
      <c r="CC9" s="2"/>
      <c r="CD9" s="2"/>
      <c r="CE9" s="2"/>
      <c r="CF9" s="2"/>
      <c r="CG9" s="11"/>
      <c r="CH9" s="11"/>
      <c r="CI9" s="11"/>
      <c r="CJ9" s="2"/>
      <c r="CK9" s="2"/>
      <c r="CL9" s="2"/>
      <c r="CM9" s="2">
        <f t="shared" si="1"/>
        <v>66.47999999999999</v>
      </c>
      <c r="CN9" s="3">
        <f t="shared" si="2"/>
        <v>67.55</v>
      </c>
      <c r="CO9" s="2">
        <f t="shared" si="0"/>
        <v>20.436</v>
      </c>
      <c r="CP9" s="2"/>
    </row>
    <row r="10" spans="1:94" ht="15.75" customHeight="1">
      <c r="A10" s="1">
        <v>9</v>
      </c>
      <c r="B10" s="2">
        <v>20554</v>
      </c>
      <c r="C10" s="10">
        <v>45336</v>
      </c>
      <c r="D10" s="2">
        <v>4</v>
      </c>
      <c r="E10" s="2">
        <v>466</v>
      </c>
      <c r="F10" s="11">
        <v>1.1399999999999999</v>
      </c>
      <c r="G10" s="11">
        <v>7.25</v>
      </c>
      <c r="H10" s="11">
        <v>3.39</v>
      </c>
      <c r="I10" s="11">
        <v>19.93</v>
      </c>
      <c r="J10" s="2" t="s">
        <v>83</v>
      </c>
      <c r="K10" s="2">
        <v>43641</v>
      </c>
      <c r="L10" s="2">
        <v>149</v>
      </c>
      <c r="M10" s="11">
        <v>1.1299999999999999</v>
      </c>
      <c r="N10" s="11">
        <v>7.36</v>
      </c>
      <c r="O10" s="11">
        <v>3.58</v>
      </c>
      <c r="P10" s="2" t="s">
        <v>84</v>
      </c>
      <c r="Q10" s="2">
        <v>0</v>
      </c>
      <c r="R10" s="2"/>
      <c r="S10" s="2">
        <v>43948</v>
      </c>
      <c r="T10" s="2">
        <v>124</v>
      </c>
      <c r="U10" s="11">
        <v>1.02</v>
      </c>
      <c r="V10" s="11">
        <v>7.03</v>
      </c>
      <c r="W10" s="11">
        <v>3.62</v>
      </c>
      <c r="X10" s="2" t="s">
        <v>84</v>
      </c>
      <c r="Y10" s="2">
        <v>0</v>
      </c>
      <c r="Z10" s="2"/>
      <c r="AA10" s="2">
        <v>44237</v>
      </c>
      <c r="AB10" s="2">
        <v>55</v>
      </c>
      <c r="AC10" s="11">
        <v>1.08</v>
      </c>
      <c r="AD10" s="11">
        <v>7.17</v>
      </c>
      <c r="AE10" s="11">
        <v>3.16</v>
      </c>
      <c r="AF10" s="2" t="s">
        <v>84</v>
      </c>
      <c r="AG10" s="2">
        <v>0</v>
      </c>
      <c r="AH10" s="2"/>
      <c r="AI10" s="2">
        <v>43641</v>
      </c>
      <c r="AJ10" s="2">
        <v>139</v>
      </c>
      <c r="AK10" s="11">
        <v>1.1000000000000001</v>
      </c>
      <c r="AL10" s="11">
        <v>7.24</v>
      </c>
      <c r="AM10" s="11">
        <v>3.49</v>
      </c>
      <c r="AN10" s="2" t="s">
        <v>84</v>
      </c>
      <c r="AO10" s="2">
        <v>0</v>
      </c>
      <c r="AP10" s="2"/>
      <c r="AQ10" s="2"/>
      <c r="AR10" s="2"/>
      <c r="AS10" s="11"/>
      <c r="AT10" s="11"/>
      <c r="AU10" s="11"/>
      <c r="AV10" s="2"/>
      <c r="AW10" s="2"/>
      <c r="AX10" s="2"/>
      <c r="AY10" s="2"/>
      <c r="AZ10" s="12"/>
      <c r="BA10" s="11"/>
      <c r="BB10" s="11"/>
      <c r="BC10" s="11"/>
      <c r="BD10" s="2"/>
      <c r="BE10" s="2"/>
      <c r="BF10" s="2"/>
      <c r="BG10" s="2"/>
      <c r="BH10" s="2"/>
      <c r="BI10" s="11"/>
      <c r="BJ10" s="11"/>
      <c r="BK10" s="11"/>
      <c r="BL10" s="2"/>
      <c r="BM10" s="2"/>
      <c r="BN10" s="2"/>
      <c r="BO10" s="2"/>
      <c r="BP10" s="2"/>
      <c r="BQ10" s="11"/>
      <c r="BR10" s="11"/>
      <c r="BS10" s="11"/>
      <c r="BT10" s="2"/>
      <c r="BU10" s="2"/>
      <c r="BV10" s="2"/>
      <c r="BW10" s="2"/>
      <c r="BX10" s="2"/>
      <c r="BY10" s="11"/>
      <c r="BZ10" s="11"/>
      <c r="CA10" s="11"/>
      <c r="CB10" s="2"/>
      <c r="CC10" s="2"/>
      <c r="CD10" s="2"/>
      <c r="CE10" s="2"/>
      <c r="CF10" s="2"/>
      <c r="CG10" s="11"/>
      <c r="CH10" s="11"/>
      <c r="CI10" s="11"/>
      <c r="CJ10" s="2"/>
      <c r="CK10" s="2"/>
      <c r="CL10" s="2"/>
      <c r="CM10" s="2">
        <f t="shared" si="1"/>
        <v>64.070000000000007</v>
      </c>
      <c r="CN10" s="3">
        <f t="shared" si="2"/>
        <v>65.210000000000008</v>
      </c>
      <c r="CO10" s="2">
        <f t="shared" si="0"/>
        <v>19.521000000000001</v>
      </c>
      <c r="CP10" s="2"/>
    </row>
    <row r="11" spans="1:94" ht="15.75" customHeight="1">
      <c r="A11" s="1">
        <v>10</v>
      </c>
      <c r="B11" s="2">
        <v>20558</v>
      </c>
      <c r="C11" s="10">
        <v>45337</v>
      </c>
      <c r="D11" s="2">
        <v>4</v>
      </c>
      <c r="E11" s="2">
        <v>489</v>
      </c>
      <c r="F11" s="11">
        <v>1.1499999999999999</v>
      </c>
      <c r="G11" s="11">
        <v>7.09</v>
      </c>
      <c r="H11" s="11">
        <v>3.52</v>
      </c>
      <c r="I11" s="11">
        <v>20.12</v>
      </c>
      <c r="J11" s="2" t="s">
        <v>87</v>
      </c>
      <c r="K11" s="2">
        <v>43902</v>
      </c>
      <c r="L11" s="2">
        <v>119</v>
      </c>
      <c r="M11" s="11">
        <v>1.31</v>
      </c>
      <c r="N11" s="11">
        <v>7.21</v>
      </c>
      <c r="O11" s="11">
        <v>3.16</v>
      </c>
      <c r="P11" s="2" t="s">
        <v>86</v>
      </c>
      <c r="Q11" s="2">
        <v>0</v>
      </c>
      <c r="R11" s="2"/>
      <c r="S11" s="2">
        <v>43898</v>
      </c>
      <c r="T11" s="2">
        <v>121</v>
      </c>
      <c r="U11" s="11">
        <v>1.07</v>
      </c>
      <c r="V11" s="11">
        <v>6.98</v>
      </c>
      <c r="W11" s="11">
        <v>4.07</v>
      </c>
      <c r="X11" s="2" t="s">
        <v>86</v>
      </c>
      <c r="Y11" s="2">
        <v>0</v>
      </c>
      <c r="Z11" s="2"/>
      <c r="AA11" s="2">
        <v>44153</v>
      </c>
      <c r="AB11" s="2">
        <v>147</v>
      </c>
      <c r="AC11" s="11">
        <v>1.1200000000000001</v>
      </c>
      <c r="AD11" s="11">
        <v>7.1</v>
      </c>
      <c r="AE11" s="11">
        <v>3.41</v>
      </c>
      <c r="AF11" s="2" t="s">
        <v>86</v>
      </c>
      <c r="AG11" s="2">
        <v>0</v>
      </c>
      <c r="AH11" s="2"/>
      <c r="AI11" s="2">
        <v>43949</v>
      </c>
      <c r="AJ11" s="2">
        <v>102</v>
      </c>
      <c r="AK11" s="11">
        <v>1.1499999999999999</v>
      </c>
      <c r="AL11" s="11">
        <v>7.1</v>
      </c>
      <c r="AM11" s="11">
        <v>3.46</v>
      </c>
      <c r="AN11" s="2" t="s">
        <v>86</v>
      </c>
      <c r="AO11" s="2">
        <v>0</v>
      </c>
      <c r="AP11" s="2"/>
      <c r="AQ11" s="2"/>
      <c r="AR11" s="2"/>
      <c r="AS11" s="11"/>
      <c r="AT11" s="11"/>
      <c r="AU11" s="11"/>
      <c r="AV11" s="2"/>
      <c r="AW11" s="2"/>
      <c r="AX11" s="2"/>
      <c r="AY11" s="2"/>
      <c r="AZ11" s="12"/>
      <c r="BA11" s="11"/>
      <c r="BB11" s="11"/>
      <c r="BC11" s="11"/>
      <c r="BD11" s="2"/>
      <c r="BE11" s="2"/>
      <c r="BF11" s="2"/>
      <c r="BG11" s="2"/>
      <c r="BH11" s="2"/>
      <c r="BI11" s="11"/>
      <c r="BJ11" s="11"/>
      <c r="BK11" s="11"/>
      <c r="BL11" s="2"/>
      <c r="BM11" s="2"/>
      <c r="BN11" s="2"/>
      <c r="BO11" s="2"/>
      <c r="BP11" s="2"/>
      <c r="BQ11" s="11"/>
      <c r="BR11" s="11"/>
      <c r="BS11" s="11"/>
      <c r="BT11" s="2"/>
      <c r="BU11" s="2"/>
      <c r="BV11" s="2"/>
      <c r="BW11" s="2"/>
      <c r="BX11" s="2"/>
      <c r="BY11" s="11"/>
      <c r="BZ11" s="11"/>
      <c r="CA11" s="11"/>
      <c r="CB11" s="2"/>
      <c r="CC11" s="2"/>
      <c r="CD11" s="2"/>
      <c r="CE11" s="2"/>
      <c r="CF11" s="2"/>
      <c r="CG11" s="11"/>
      <c r="CH11" s="11"/>
      <c r="CI11" s="11"/>
      <c r="CJ11" s="2"/>
      <c r="CK11" s="2"/>
      <c r="CL11" s="2"/>
      <c r="CM11" s="2">
        <f t="shared" si="1"/>
        <v>64.64</v>
      </c>
      <c r="CN11" s="3">
        <f t="shared" si="2"/>
        <v>65.789999999999992</v>
      </c>
      <c r="CO11" s="2">
        <f t="shared" si="0"/>
        <v>19.884</v>
      </c>
      <c r="CP11" s="2"/>
    </row>
    <row r="12" spans="1:94" ht="15.75" customHeight="1">
      <c r="A12" s="1">
        <v>11</v>
      </c>
      <c r="B12" s="2">
        <v>20560</v>
      </c>
      <c r="C12" s="10">
        <v>45337</v>
      </c>
      <c r="D12" s="2">
        <v>4</v>
      </c>
      <c r="E12" s="2">
        <v>552</v>
      </c>
      <c r="F12" s="11">
        <v>1.1499999999999999</v>
      </c>
      <c r="G12" s="11">
        <v>7.19</v>
      </c>
      <c r="H12" s="11">
        <v>3.47</v>
      </c>
      <c r="I12" s="11">
        <v>20.100000000000001</v>
      </c>
      <c r="J12" s="2" t="s">
        <v>88</v>
      </c>
      <c r="K12" s="2">
        <v>43661</v>
      </c>
      <c r="L12" s="2">
        <v>140</v>
      </c>
      <c r="M12" s="11">
        <v>1.26</v>
      </c>
      <c r="N12" s="11">
        <v>7.01</v>
      </c>
      <c r="O12" s="11">
        <v>2.66</v>
      </c>
      <c r="P12" s="2" t="s">
        <v>84</v>
      </c>
      <c r="Q12" s="2">
        <v>0</v>
      </c>
      <c r="R12" s="2"/>
      <c r="S12" s="2">
        <v>43026</v>
      </c>
      <c r="T12" s="2">
        <v>140</v>
      </c>
      <c r="U12" s="11">
        <v>0.95</v>
      </c>
      <c r="V12" s="11">
        <v>6.84</v>
      </c>
      <c r="W12" s="11">
        <v>4.8099999999999996</v>
      </c>
      <c r="X12" s="2" t="s">
        <v>84</v>
      </c>
      <c r="Y12" s="2">
        <v>0</v>
      </c>
      <c r="Z12" s="2"/>
      <c r="AA12" s="2">
        <v>43545</v>
      </c>
      <c r="AB12" s="2">
        <v>129</v>
      </c>
      <c r="AC12" s="11">
        <v>1.03</v>
      </c>
      <c r="AD12" s="11">
        <v>7.43</v>
      </c>
      <c r="AE12" s="11">
        <v>3.25</v>
      </c>
      <c r="AF12" s="2" t="s">
        <v>84</v>
      </c>
      <c r="AG12" s="2">
        <v>0</v>
      </c>
      <c r="AH12" s="2"/>
      <c r="AI12" s="2">
        <v>43641</v>
      </c>
      <c r="AJ12" s="2">
        <v>143</v>
      </c>
      <c r="AK12" s="11">
        <v>1.07</v>
      </c>
      <c r="AL12" s="11">
        <v>7.31</v>
      </c>
      <c r="AM12" s="11">
        <v>3.6</v>
      </c>
      <c r="AN12" s="2" t="s">
        <v>84</v>
      </c>
      <c r="AO12" s="2">
        <v>0</v>
      </c>
      <c r="AP12" s="2"/>
      <c r="AQ12" s="2"/>
      <c r="AR12" s="2"/>
      <c r="AS12" s="11"/>
      <c r="AT12" s="11"/>
      <c r="AU12" s="11"/>
      <c r="AV12" s="2"/>
      <c r="AW12" s="2"/>
      <c r="AX12" s="2"/>
      <c r="AY12" s="2"/>
      <c r="AZ12" s="12"/>
      <c r="BA12" s="11"/>
      <c r="BB12" s="11"/>
      <c r="BC12" s="11"/>
      <c r="BD12" s="2"/>
      <c r="BE12" s="2"/>
      <c r="BF12" s="2"/>
      <c r="BG12" s="2"/>
      <c r="BH12" s="2"/>
      <c r="BI12" s="11"/>
      <c r="BJ12" s="11"/>
      <c r="BK12" s="11"/>
      <c r="BL12" s="2"/>
      <c r="BM12" s="2"/>
      <c r="BN12" s="2"/>
      <c r="BO12" s="2"/>
      <c r="BP12" s="2"/>
      <c r="BQ12" s="11"/>
      <c r="BR12" s="11"/>
      <c r="BS12" s="11"/>
      <c r="BT12" s="2"/>
      <c r="BU12" s="2"/>
      <c r="BV12" s="2"/>
      <c r="BW12" s="2"/>
      <c r="BX12" s="2"/>
      <c r="BY12" s="11"/>
      <c r="BZ12" s="11"/>
      <c r="CA12" s="11"/>
      <c r="CB12" s="2"/>
      <c r="CC12" s="2"/>
      <c r="CD12" s="2"/>
      <c r="CE12" s="2"/>
      <c r="CF12" s="2"/>
      <c r="CG12" s="11"/>
      <c r="CH12" s="11"/>
      <c r="CI12" s="11"/>
      <c r="CJ12" s="2"/>
      <c r="CK12" s="2"/>
      <c r="CL12" s="2"/>
      <c r="CM12" s="2">
        <f t="shared" si="1"/>
        <v>64.59</v>
      </c>
      <c r="CN12" s="3">
        <f t="shared" si="2"/>
        <v>65.739999999999995</v>
      </c>
      <c r="CO12" s="2">
        <f t="shared" si="0"/>
        <v>19.748999999999999</v>
      </c>
      <c r="CP12" s="2"/>
    </row>
    <row r="13" spans="1:94" ht="15.75" customHeight="1">
      <c r="A13" s="1">
        <v>12</v>
      </c>
      <c r="B13" s="2">
        <v>20561</v>
      </c>
      <c r="C13" s="10">
        <v>45337</v>
      </c>
      <c r="D13" s="2">
        <v>4</v>
      </c>
      <c r="E13" s="2">
        <v>569</v>
      </c>
      <c r="F13" s="11">
        <v>1.07</v>
      </c>
      <c r="G13" s="11">
        <v>7.05</v>
      </c>
      <c r="H13" s="11">
        <v>3.63</v>
      </c>
      <c r="I13" s="11">
        <v>20.239999999999998</v>
      </c>
      <c r="J13" s="2" t="s">
        <v>83</v>
      </c>
      <c r="K13" s="2">
        <v>43593</v>
      </c>
      <c r="L13" s="2">
        <v>136</v>
      </c>
      <c r="M13" s="11">
        <v>1.19</v>
      </c>
      <c r="N13" s="11">
        <v>7.09</v>
      </c>
      <c r="O13" s="11">
        <v>2.95</v>
      </c>
      <c r="P13" s="2" t="s">
        <v>84</v>
      </c>
      <c r="Q13" s="2">
        <v>0</v>
      </c>
      <c r="R13" s="2"/>
      <c r="S13" s="2">
        <v>43026</v>
      </c>
      <c r="T13" s="2">
        <v>143</v>
      </c>
      <c r="U13" s="11">
        <v>1</v>
      </c>
      <c r="V13" s="11">
        <v>6.96</v>
      </c>
      <c r="W13" s="11">
        <v>4.62</v>
      </c>
      <c r="X13" s="2" t="s">
        <v>84</v>
      </c>
      <c r="Y13" s="2">
        <v>0</v>
      </c>
      <c r="Z13" s="2"/>
      <c r="AA13" s="2">
        <v>43279</v>
      </c>
      <c r="AB13" s="2">
        <v>142</v>
      </c>
      <c r="AC13" s="11">
        <v>1.04</v>
      </c>
      <c r="AD13" s="11">
        <v>7.03</v>
      </c>
      <c r="AE13" s="11">
        <v>2.83</v>
      </c>
      <c r="AF13" s="2" t="s">
        <v>84</v>
      </c>
      <c r="AG13" s="2">
        <v>0</v>
      </c>
      <c r="AH13" s="2"/>
      <c r="AI13" s="2">
        <v>43898</v>
      </c>
      <c r="AJ13" s="2">
        <v>148</v>
      </c>
      <c r="AK13" s="11">
        <v>1.07</v>
      </c>
      <c r="AL13" s="11">
        <v>6.99</v>
      </c>
      <c r="AM13" s="11">
        <v>4.24</v>
      </c>
      <c r="AN13" s="2" t="s">
        <v>84</v>
      </c>
      <c r="AO13" s="2">
        <v>0</v>
      </c>
      <c r="AP13" s="2"/>
      <c r="AQ13" s="2"/>
      <c r="AR13" s="2"/>
      <c r="AS13" s="11"/>
      <c r="AT13" s="11"/>
      <c r="AU13" s="11"/>
      <c r="AV13" s="2"/>
      <c r="AW13" s="2"/>
      <c r="AX13" s="2"/>
      <c r="AY13" s="2"/>
      <c r="AZ13" s="12"/>
      <c r="BA13" s="11"/>
      <c r="BB13" s="11"/>
      <c r="BC13" s="11"/>
      <c r="BD13" s="2"/>
      <c r="BE13" s="2"/>
      <c r="BF13" s="2"/>
      <c r="BG13" s="2"/>
      <c r="BH13" s="2"/>
      <c r="BI13" s="11"/>
      <c r="BJ13" s="11"/>
      <c r="BK13" s="11"/>
      <c r="BL13" s="2"/>
      <c r="BM13" s="2"/>
      <c r="BN13" s="2"/>
      <c r="BO13" s="2"/>
      <c r="BP13" s="2"/>
      <c r="BQ13" s="11"/>
      <c r="BR13" s="11"/>
      <c r="BS13" s="11"/>
      <c r="BT13" s="2"/>
      <c r="BU13" s="2"/>
      <c r="BV13" s="2"/>
      <c r="BW13" s="2"/>
      <c r="BX13" s="2"/>
      <c r="BY13" s="11"/>
      <c r="BZ13" s="11"/>
      <c r="CA13" s="11"/>
      <c r="CB13" s="2"/>
      <c r="CC13" s="2"/>
      <c r="CD13" s="2"/>
      <c r="CE13" s="2"/>
      <c r="CF13" s="2"/>
      <c r="CG13" s="11"/>
      <c r="CH13" s="11"/>
      <c r="CI13" s="11"/>
      <c r="CJ13" s="2"/>
      <c r="CK13" s="2"/>
      <c r="CL13" s="2"/>
      <c r="CM13" s="2">
        <f t="shared" si="1"/>
        <v>65.150000000000006</v>
      </c>
      <c r="CN13" s="3">
        <f t="shared" si="2"/>
        <v>66.22</v>
      </c>
      <c r="CO13" s="2">
        <f t="shared" si="0"/>
        <v>20.085000000000001</v>
      </c>
      <c r="CP13" s="2"/>
    </row>
    <row r="14" spans="1:94" ht="15.75" customHeight="1">
      <c r="A14" s="1">
        <v>13</v>
      </c>
      <c r="B14" s="2">
        <v>20562</v>
      </c>
      <c r="C14" s="10">
        <v>45337</v>
      </c>
      <c r="D14" s="2">
        <v>5</v>
      </c>
      <c r="E14" s="2">
        <v>558</v>
      </c>
      <c r="F14" s="11">
        <v>1.0900000000000001</v>
      </c>
      <c r="G14" s="11">
        <v>7.13</v>
      </c>
      <c r="H14" s="11">
        <v>3.87</v>
      </c>
      <c r="I14" s="11">
        <v>21.04</v>
      </c>
      <c r="J14" s="2" t="s">
        <v>88</v>
      </c>
      <c r="K14" s="2">
        <v>43377</v>
      </c>
      <c r="L14" s="2">
        <v>138</v>
      </c>
      <c r="M14" s="11">
        <v>1.21</v>
      </c>
      <c r="N14" s="11">
        <v>6.93</v>
      </c>
      <c r="O14" s="11">
        <v>5.75</v>
      </c>
      <c r="P14" s="2" t="s">
        <v>84</v>
      </c>
      <c r="Q14" s="2">
        <v>0</v>
      </c>
      <c r="R14" s="2"/>
      <c r="S14" s="2">
        <v>43641</v>
      </c>
      <c r="T14" s="2">
        <v>120</v>
      </c>
      <c r="U14" s="11">
        <v>1.1200000000000001</v>
      </c>
      <c r="V14" s="11">
        <v>7.33</v>
      </c>
      <c r="W14" s="11">
        <v>3.72</v>
      </c>
      <c r="X14" s="2" t="s">
        <v>84</v>
      </c>
      <c r="Y14" s="2">
        <v>0</v>
      </c>
      <c r="Z14" s="2"/>
      <c r="AA14" s="2">
        <v>43587</v>
      </c>
      <c r="AB14" s="2">
        <v>54</v>
      </c>
      <c r="AC14" s="11">
        <v>1.19</v>
      </c>
      <c r="AD14" s="11">
        <v>7.21</v>
      </c>
      <c r="AE14" s="11">
        <v>4.5</v>
      </c>
      <c r="AF14" s="2" t="s">
        <v>84</v>
      </c>
      <c r="AG14" s="2">
        <v>0</v>
      </c>
      <c r="AH14" s="2"/>
      <c r="AI14" s="2">
        <v>43732</v>
      </c>
      <c r="AJ14" s="2">
        <v>121</v>
      </c>
      <c r="AK14" s="11">
        <v>0.95</v>
      </c>
      <c r="AL14" s="11">
        <v>6.85</v>
      </c>
      <c r="AM14" s="11">
        <v>3.53</v>
      </c>
      <c r="AN14" s="2" t="s">
        <v>84</v>
      </c>
      <c r="AO14" s="2">
        <v>0</v>
      </c>
      <c r="AP14" s="2"/>
      <c r="AQ14" s="2">
        <v>43612</v>
      </c>
      <c r="AR14" s="2">
        <v>125</v>
      </c>
      <c r="AS14" s="11">
        <v>0.92</v>
      </c>
      <c r="AT14" s="11">
        <v>7.21</v>
      </c>
      <c r="AU14" s="11">
        <v>2.4500000000000002</v>
      </c>
      <c r="AV14" s="2" t="s">
        <v>84</v>
      </c>
      <c r="AW14" s="2">
        <v>0</v>
      </c>
      <c r="AX14" s="2"/>
      <c r="AY14" s="2"/>
      <c r="AZ14" s="12"/>
      <c r="BA14" s="11"/>
      <c r="BB14" s="11"/>
      <c r="BC14" s="11"/>
      <c r="BD14" s="2"/>
      <c r="BE14" s="2"/>
      <c r="BF14" s="2"/>
      <c r="BG14" s="2"/>
      <c r="BH14" s="2"/>
      <c r="BI14" s="11"/>
      <c r="BJ14" s="11"/>
      <c r="BK14" s="11"/>
      <c r="BL14" s="2"/>
      <c r="BM14" s="2"/>
      <c r="BN14" s="2"/>
      <c r="BO14" s="2"/>
      <c r="BP14" s="2"/>
      <c r="BQ14" s="11"/>
      <c r="BR14" s="11"/>
      <c r="BS14" s="11"/>
      <c r="BT14" s="2"/>
      <c r="BU14" s="2"/>
      <c r="BV14" s="2"/>
      <c r="BW14" s="2"/>
      <c r="BX14" s="2"/>
      <c r="BY14" s="11"/>
      <c r="BZ14" s="11"/>
      <c r="CA14" s="11"/>
      <c r="CB14" s="2"/>
      <c r="CC14" s="2"/>
      <c r="CD14" s="2"/>
      <c r="CE14" s="2"/>
      <c r="CF14" s="2"/>
      <c r="CG14" s="11"/>
      <c r="CH14" s="11"/>
      <c r="CI14" s="11"/>
      <c r="CJ14" s="2"/>
      <c r="CK14" s="2"/>
      <c r="CL14" s="2"/>
      <c r="CM14" s="2">
        <f t="shared" si="1"/>
        <v>67.710000000000008</v>
      </c>
      <c r="CN14" s="3">
        <f t="shared" si="2"/>
        <v>68.8</v>
      </c>
      <c r="CO14" s="2">
        <f t="shared" si="0"/>
        <v>20.756999999999998</v>
      </c>
      <c r="CP14" s="2"/>
    </row>
    <row r="15" spans="1:94" ht="15.75" customHeight="1">
      <c r="A15" s="1">
        <v>14</v>
      </c>
      <c r="B15" s="2">
        <v>20569</v>
      </c>
      <c r="C15" s="10">
        <v>45338</v>
      </c>
      <c r="D15" s="2">
        <v>5</v>
      </c>
      <c r="E15" s="2">
        <v>548</v>
      </c>
      <c r="F15" s="11">
        <v>1.25</v>
      </c>
      <c r="G15" s="11">
        <v>1.21</v>
      </c>
      <c r="H15" s="11">
        <v>3.3</v>
      </c>
      <c r="I15" s="11">
        <v>19.82</v>
      </c>
      <c r="J15" s="2" t="s">
        <v>87</v>
      </c>
      <c r="K15" s="2">
        <v>44242</v>
      </c>
      <c r="L15" s="2">
        <v>108</v>
      </c>
      <c r="M15" s="11">
        <v>1.46</v>
      </c>
      <c r="N15" s="11">
        <v>7.25</v>
      </c>
      <c r="O15" s="11">
        <v>3.34</v>
      </c>
      <c r="P15" s="2" t="s">
        <v>86</v>
      </c>
      <c r="Q15" s="2">
        <v>0</v>
      </c>
      <c r="R15" s="2"/>
      <c r="S15" s="2">
        <v>43707</v>
      </c>
      <c r="T15" s="2">
        <v>129</v>
      </c>
      <c r="U15" s="11">
        <v>1.06</v>
      </c>
      <c r="V15" s="11">
        <v>7.06</v>
      </c>
      <c r="W15" s="11">
        <v>3.26</v>
      </c>
      <c r="X15" s="2" t="s">
        <v>86</v>
      </c>
      <c r="Y15" s="2">
        <v>0</v>
      </c>
      <c r="Z15" s="2"/>
      <c r="AA15" s="2">
        <v>44191</v>
      </c>
      <c r="AB15" s="2">
        <v>53</v>
      </c>
      <c r="AC15" s="11">
        <v>1.2</v>
      </c>
      <c r="AD15" s="11">
        <v>7.24</v>
      </c>
      <c r="AE15" s="11">
        <v>3.47</v>
      </c>
      <c r="AF15" s="2" t="s">
        <v>86</v>
      </c>
      <c r="AG15" s="2">
        <v>0</v>
      </c>
      <c r="AH15" s="2"/>
      <c r="AI15" s="2">
        <v>44164</v>
      </c>
      <c r="AJ15" s="2">
        <v>139</v>
      </c>
      <c r="AK15" s="11">
        <v>1.45</v>
      </c>
      <c r="AL15" s="11">
        <v>7.31</v>
      </c>
      <c r="AM15" s="11">
        <v>3.64</v>
      </c>
      <c r="AN15" s="2" t="s">
        <v>86</v>
      </c>
      <c r="AO15" s="2">
        <v>0</v>
      </c>
      <c r="AP15" s="2"/>
      <c r="AQ15" s="2">
        <v>43805</v>
      </c>
      <c r="AR15" s="2">
        <v>119</v>
      </c>
      <c r="AS15" s="11">
        <v>1.01</v>
      </c>
      <c r="AT15" s="11">
        <v>7.12</v>
      </c>
      <c r="AU15" s="11">
        <v>2.88</v>
      </c>
      <c r="AV15" s="2" t="s">
        <v>86</v>
      </c>
      <c r="AW15" s="2">
        <v>0</v>
      </c>
      <c r="AX15" s="2"/>
      <c r="AY15" s="2"/>
      <c r="AZ15" s="12"/>
      <c r="BA15" s="11"/>
      <c r="BB15" s="11"/>
      <c r="BC15" s="11"/>
      <c r="BD15" s="2"/>
      <c r="BE15" s="2"/>
      <c r="BF15" s="2"/>
      <c r="BG15" s="2"/>
      <c r="BH15" s="2"/>
      <c r="BI15" s="11"/>
      <c r="BJ15" s="11"/>
      <c r="BK15" s="11"/>
      <c r="BL15" s="2"/>
      <c r="BM15" s="2"/>
      <c r="BN15" s="2"/>
      <c r="BO15" s="2"/>
      <c r="BP15" s="2"/>
      <c r="BQ15" s="11"/>
      <c r="BR15" s="11"/>
      <c r="BS15" s="11"/>
      <c r="BT15" s="2"/>
      <c r="BU15" s="2"/>
      <c r="BV15" s="2"/>
      <c r="BW15" s="2"/>
      <c r="BX15" s="2"/>
      <c r="BY15" s="11"/>
      <c r="BZ15" s="11"/>
      <c r="CA15" s="11"/>
      <c r="CB15" s="2"/>
      <c r="CC15" s="2"/>
      <c r="CD15" s="2"/>
      <c r="CE15" s="2"/>
      <c r="CF15" s="2"/>
      <c r="CG15" s="11"/>
      <c r="CH15" s="11"/>
      <c r="CI15" s="11"/>
      <c r="CJ15" s="2"/>
      <c r="CK15" s="2"/>
      <c r="CL15" s="2"/>
      <c r="CM15" s="2">
        <f t="shared" si="1"/>
        <v>39.54</v>
      </c>
      <c r="CN15" s="3">
        <f t="shared" si="2"/>
        <v>40.79</v>
      </c>
      <c r="CO15" s="2">
        <f t="shared" si="0"/>
        <v>19.41</v>
      </c>
      <c r="CP15" s="2"/>
    </row>
    <row r="16" spans="1:94" ht="15.75" customHeight="1">
      <c r="A16" s="1">
        <v>15</v>
      </c>
      <c r="B16" s="2">
        <v>20570</v>
      </c>
      <c r="C16" s="10">
        <v>45338</v>
      </c>
      <c r="D16" s="2">
        <v>4</v>
      </c>
      <c r="E16" s="2">
        <v>480</v>
      </c>
      <c r="F16" s="11">
        <v>1.22</v>
      </c>
      <c r="G16" s="11">
        <v>7.21</v>
      </c>
      <c r="H16" s="11">
        <v>3.35</v>
      </c>
      <c r="I16" s="11">
        <v>19.91</v>
      </c>
      <c r="J16" s="2" t="s">
        <v>87</v>
      </c>
      <c r="K16" s="2">
        <v>44179</v>
      </c>
      <c r="L16" s="2">
        <v>140</v>
      </c>
      <c r="M16" s="11">
        <v>1.37</v>
      </c>
      <c r="N16" s="11">
        <v>7.38</v>
      </c>
      <c r="O16" s="11">
        <v>3.19</v>
      </c>
      <c r="P16" s="2" t="s">
        <v>86</v>
      </c>
      <c r="Q16" s="2">
        <v>0</v>
      </c>
      <c r="R16" s="2"/>
      <c r="S16" s="2">
        <v>44153</v>
      </c>
      <c r="T16" s="2">
        <v>99</v>
      </c>
      <c r="U16" s="11">
        <v>1.2</v>
      </c>
      <c r="V16" s="11">
        <v>7.04</v>
      </c>
      <c r="W16" s="11">
        <v>3.6</v>
      </c>
      <c r="X16" s="2" t="s">
        <v>86</v>
      </c>
      <c r="Y16" s="2">
        <v>0</v>
      </c>
      <c r="Z16" s="2"/>
      <c r="AA16" s="2">
        <v>43707</v>
      </c>
      <c r="AB16" s="2">
        <v>141</v>
      </c>
      <c r="AC16" s="11">
        <v>1.17</v>
      </c>
      <c r="AD16" s="11">
        <v>7.07</v>
      </c>
      <c r="AE16" s="11">
        <v>3.44</v>
      </c>
      <c r="AF16" s="2" t="s">
        <v>86</v>
      </c>
      <c r="AG16" s="2">
        <v>0</v>
      </c>
      <c r="AH16" s="2"/>
      <c r="AI16" s="2">
        <v>43751</v>
      </c>
      <c r="AJ16" s="2">
        <v>99</v>
      </c>
      <c r="AK16" s="11">
        <v>1.03</v>
      </c>
      <c r="AL16" s="11">
        <v>7.17</v>
      </c>
      <c r="AM16" s="11">
        <v>2.97</v>
      </c>
      <c r="AN16" s="2" t="s">
        <v>86</v>
      </c>
      <c r="AO16" s="2">
        <v>0</v>
      </c>
      <c r="AP16" s="2"/>
      <c r="AQ16" s="2"/>
      <c r="AR16" s="2"/>
      <c r="AS16" s="11"/>
      <c r="AT16" s="11"/>
      <c r="AU16" s="11"/>
      <c r="AV16" s="2"/>
      <c r="AW16" s="2"/>
      <c r="AX16" s="2"/>
      <c r="AY16" s="2"/>
      <c r="AZ16" s="12"/>
      <c r="BA16" s="11"/>
      <c r="BB16" s="11"/>
      <c r="BC16" s="11"/>
      <c r="BD16" s="2"/>
      <c r="BE16" s="2"/>
      <c r="BF16" s="2"/>
      <c r="BG16" s="2"/>
      <c r="BH16" s="2"/>
      <c r="BI16" s="11"/>
      <c r="BJ16" s="11"/>
      <c r="BK16" s="11"/>
      <c r="BL16" s="2"/>
      <c r="BM16" s="2"/>
      <c r="BN16" s="2"/>
      <c r="BO16" s="2"/>
      <c r="BP16" s="2"/>
      <c r="BQ16" s="11"/>
      <c r="BR16" s="11"/>
      <c r="BS16" s="11"/>
      <c r="BT16" s="2"/>
      <c r="BU16" s="2"/>
      <c r="BV16" s="2"/>
      <c r="BW16" s="2"/>
      <c r="BX16" s="2"/>
      <c r="BY16" s="11"/>
      <c r="BZ16" s="11"/>
      <c r="CA16" s="11"/>
      <c r="CB16" s="2"/>
      <c r="CC16" s="2"/>
      <c r="CD16" s="2"/>
      <c r="CE16" s="2"/>
      <c r="CF16" s="2"/>
      <c r="CG16" s="11"/>
      <c r="CH16" s="11"/>
      <c r="CI16" s="11"/>
      <c r="CJ16" s="2"/>
      <c r="CK16" s="2"/>
      <c r="CL16" s="2"/>
      <c r="CM16" s="2">
        <f t="shared" si="1"/>
        <v>63.870000000000005</v>
      </c>
      <c r="CN16" s="3">
        <f t="shared" si="2"/>
        <v>65.09</v>
      </c>
      <c r="CO16" s="2">
        <f t="shared" si="0"/>
        <v>19.509</v>
      </c>
      <c r="CP16" s="2"/>
    </row>
    <row r="17" spans="1:94" ht="15.75" customHeight="1">
      <c r="A17" s="1">
        <v>16</v>
      </c>
      <c r="B17" s="2">
        <v>20571</v>
      </c>
      <c r="C17" s="10">
        <v>45338</v>
      </c>
      <c r="D17" s="2">
        <v>3</v>
      </c>
      <c r="E17" s="2">
        <v>406</v>
      </c>
      <c r="F17" s="11">
        <v>1.19</v>
      </c>
      <c r="G17" s="11">
        <v>7.24</v>
      </c>
      <c r="H17" s="11">
        <v>3.35</v>
      </c>
      <c r="I17" s="11">
        <v>19.89</v>
      </c>
      <c r="J17" s="2" t="s">
        <v>87</v>
      </c>
      <c r="K17" s="2">
        <v>44242</v>
      </c>
      <c r="L17" s="2">
        <v>148</v>
      </c>
      <c r="M17" s="11">
        <v>1.32</v>
      </c>
      <c r="N17" s="11">
        <v>7.15</v>
      </c>
      <c r="O17" s="11">
        <v>3.34</v>
      </c>
      <c r="P17" s="2" t="s">
        <v>86</v>
      </c>
      <c r="Q17" s="2">
        <v>0</v>
      </c>
      <c r="R17" s="2"/>
      <c r="S17" s="2">
        <v>44191</v>
      </c>
      <c r="T17" s="2">
        <v>141</v>
      </c>
      <c r="U17" s="11">
        <v>1.26</v>
      </c>
      <c r="V17" s="11">
        <v>7.34</v>
      </c>
      <c r="W17" s="11">
        <v>3.5</v>
      </c>
      <c r="X17" s="2" t="s">
        <v>86</v>
      </c>
      <c r="Y17" s="2">
        <v>0</v>
      </c>
      <c r="Z17" s="2"/>
      <c r="AA17" s="2">
        <v>43949</v>
      </c>
      <c r="AB17" s="2">
        <v>118</v>
      </c>
      <c r="AC17" s="11">
        <v>0.93</v>
      </c>
      <c r="AD17" s="11">
        <v>7.12</v>
      </c>
      <c r="AE17" s="11">
        <v>3.09</v>
      </c>
      <c r="AF17" s="2" t="s">
        <v>86</v>
      </c>
      <c r="AG17" s="2">
        <v>0</v>
      </c>
      <c r="AH17" s="2"/>
      <c r="AI17" s="2"/>
      <c r="AJ17" s="2"/>
      <c r="AK17" s="11"/>
      <c r="AL17" s="11"/>
      <c r="AM17" s="11"/>
      <c r="AN17" s="2"/>
      <c r="AO17" s="2"/>
      <c r="AP17" s="2"/>
      <c r="AQ17" s="2"/>
      <c r="AR17" s="2"/>
      <c r="AS17" s="11"/>
      <c r="AT17" s="11"/>
      <c r="AU17" s="11"/>
      <c r="AV17" s="2"/>
      <c r="AW17" s="2"/>
      <c r="AX17" s="2"/>
      <c r="AY17" s="2"/>
      <c r="AZ17" s="12"/>
      <c r="BA17" s="11"/>
      <c r="BB17" s="11"/>
      <c r="BC17" s="11"/>
      <c r="BD17" s="2"/>
      <c r="BE17" s="2"/>
      <c r="BF17" s="2"/>
      <c r="BG17" s="2"/>
      <c r="BH17" s="2"/>
      <c r="BI17" s="11"/>
      <c r="BJ17" s="11"/>
      <c r="BK17" s="11"/>
      <c r="BL17" s="2"/>
      <c r="BM17" s="2"/>
      <c r="BN17" s="2"/>
      <c r="BO17" s="2"/>
      <c r="BP17" s="2"/>
      <c r="BQ17" s="11"/>
      <c r="BR17" s="11"/>
      <c r="BS17" s="11"/>
      <c r="BT17" s="2"/>
      <c r="BU17" s="2"/>
      <c r="BV17" s="2"/>
      <c r="BW17" s="2"/>
      <c r="BX17" s="2"/>
      <c r="BY17" s="11"/>
      <c r="BZ17" s="11"/>
      <c r="CA17" s="11"/>
      <c r="CB17" s="2"/>
      <c r="CC17" s="2"/>
      <c r="CD17" s="2"/>
      <c r="CE17" s="2"/>
      <c r="CF17" s="2"/>
      <c r="CG17" s="11"/>
      <c r="CH17" s="11"/>
      <c r="CI17" s="11"/>
      <c r="CJ17" s="2"/>
      <c r="CK17" s="2"/>
      <c r="CL17" s="2"/>
      <c r="CM17" s="2">
        <f t="shared" si="1"/>
        <v>63.870000000000005</v>
      </c>
      <c r="CN17" s="3">
        <f t="shared" si="2"/>
        <v>65.06</v>
      </c>
      <c r="CO17" s="2">
        <f t="shared" si="0"/>
        <v>19.472999999999999</v>
      </c>
      <c r="CP17" s="2"/>
    </row>
    <row r="18" spans="1:94" ht="15.75" customHeight="1">
      <c r="A18" s="1">
        <v>17</v>
      </c>
      <c r="B18" s="2">
        <v>20573</v>
      </c>
      <c r="C18" s="10">
        <v>45338</v>
      </c>
      <c r="D18" s="2">
        <v>4</v>
      </c>
      <c r="E18" s="2">
        <v>525</v>
      </c>
      <c r="F18" s="11">
        <v>1.08</v>
      </c>
      <c r="G18" s="11">
        <v>7.05</v>
      </c>
      <c r="H18" s="11">
        <v>3.91</v>
      </c>
      <c r="I18" s="11">
        <v>21.04</v>
      </c>
      <c r="J18" s="2" t="s">
        <v>83</v>
      </c>
      <c r="K18" s="2">
        <v>43898</v>
      </c>
      <c r="L18" s="2">
        <v>120</v>
      </c>
      <c r="M18" s="11">
        <v>1.0900000000000001</v>
      </c>
      <c r="N18" s="11">
        <v>7.01</v>
      </c>
      <c r="O18" s="11">
        <v>4.09</v>
      </c>
      <c r="P18" s="2" t="s">
        <v>84</v>
      </c>
      <c r="Q18" s="2">
        <v>0</v>
      </c>
      <c r="R18" s="2"/>
      <c r="S18" s="2">
        <v>43026</v>
      </c>
      <c r="T18" s="2">
        <v>132</v>
      </c>
      <c r="U18" s="11">
        <v>1</v>
      </c>
      <c r="V18" s="11">
        <v>6.79</v>
      </c>
      <c r="W18" s="11">
        <v>5.6</v>
      </c>
      <c r="X18" s="2" t="s">
        <v>84</v>
      </c>
      <c r="Y18" s="2">
        <v>0</v>
      </c>
      <c r="Z18" s="2"/>
      <c r="AA18" s="2">
        <v>43948</v>
      </c>
      <c r="AB18" s="2">
        <v>130</v>
      </c>
      <c r="AC18" s="11">
        <v>1</v>
      </c>
      <c r="AD18" s="11">
        <v>7.18</v>
      </c>
      <c r="AE18" s="11">
        <v>3.1</v>
      </c>
      <c r="AF18" s="2" t="s">
        <v>84</v>
      </c>
      <c r="AG18" s="2">
        <v>0</v>
      </c>
      <c r="AH18" s="2"/>
      <c r="AI18" s="2">
        <v>43593</v>
      </c>
      <c r="AJ18" s="2">
        <v>144</v>
      </c>
      <c r="AK18" s="11">
        <v>1.17</v>
      </c>
      <c r="AL18" s="11">
        <v>1.0900000000000001</v>
      </c>
      <c r="AM18" s="11">
        <v>2.99</v>
      </c>
      <c r="AN18" s="2" t="s">
        <v>84</v>
      </c>
      <c r="AO18" s="2">
        <v>0</v>
      </c>
      <c r="AP18" s="2"/>
      <c r="AQ18" s="2"/>
      <c r="AR18" s="2"/>
      <c r="AS18" s="11"/>
      <c r="AT18" s="11"/>
      <c r="AU18" s="11"/>
      <c r="AV18" s="2"/>
      <c r="AW18" s="2"/>
      <c r="AX18" s="2"/>
      <c r="AY18" s="2"/>
      <c r="AZ18" s="12"/>
      <c r="BA18" s="11"/>
      <c r="BB18" s="11"/>
      <c r="BC18" s="11"/>
      <c r="BD18" s="2"/>
      <c r="BE18" s="2"/>
      <c r="BF18" s="2"/>
      <c r="BG18" s="2"/>
      <c r="BH18" s="2"/>
      <c r="BI18" s="11"/>
      <c r="BJ18" s="11"/>
      <c r="BK18" s="11"/>
      <c r="BL18" s="2"/>
      <c r="BM18" s="2"/>
      <c r="BN18" s="2"/>
      <c r="BO18" s="2"/>
      <c r="BP18" s="2"/>
      <c r="BQ18" s="11"/>
      <c r="BR18" s="11"/>
      <c r="BS18" s="11"/>
      <c r="BT18" s="2"/>
      <c r="BU18" s="2"/>
      <c r="BV18" s="2"/>
      <c r="BW18" s="2"/>
      <c r="BX18" s="2"/>
      <c r="BY18" s="11"/>
      <c r="BZ18" s="11"/>
      <c r="CA18" s="11"/>
      <c r="CB18" s="2"/>
      <c r="CC18" s="2"/>
      <c r="CD18" s="2"/>
      <c r="CE18" s="2"/>
      <c r="CF18" s="2"/>
      <c r="CG18" s="11"/>
      <c r="CH18" s="11"/>
      <c r="CI18" s="11"/>
      <c r="CJ18" s="2"/>
      <c r="CK18" s="2"/>
      <c r="CL18" s="2"/>
      <c r="CM18" s="2">
        <f t="shared" si="1"/>
        <v>67.709999999999994</v>
      </c>
      <c r="CN18" s="3">
        <f t="shared" si="2"/>
        <v>68.789999999999992</v>
      </c>
      <c r="CO18" s="2">
        <f t="shared" si="0"/>
        <v>20.852999999999998</v>
      </c>
      <c r="CP18" s="2"/>
    </row>
    <row r="19" spans="1:94" ht="15.75" customHeight="1">
      <c r="A19" s="1">
        <v>18</v>
      </c>
      <c r="B19" s="2">
        <v>20579</v>
      </c>
      <c r="C19" s="10">
        <v>45342</v>
      </c>
      <c r="D19" s="2">
        <v>5</v>
      </c>
      <c r="E19" s="2">
        <v>575</v>
      </c>
      <c r="F19" s="11">
        <v>1.1399999999999999</v>
      </c>
      <c r="G19" s="11">
        <v>7.19</v>
      </c>
      <c r="H19" s="11">
        <v>3.33</v>
      </c>
      <c r="I19" s="11">
        <v>19.690000000000001</v>
      </c>
      <c r="J19" s="2" t="s">
        <v>85</v>
      </c>
      <c r="K19" s="2">
        <v>44164</v>
      </c>
      <c r="L19" s="2">
        <v>53</v>
      </c>
      <c r="M19" s="11">
        <v>1.23</v>
      </c>
      <c r="N19" s="11">
        <v>7.24</v>
      </c>
      <c r="O19" s="11">
        <v>3.03</v>
      </c>
      <c r="P19" s="2" t="s">
        <v>86</v>
      </c>
      <c r="Q19" s="2">
        <v>0</v>
      </c>
      <c r="R19" s="2"/>
      <c r="S19" s="2">
        <v>44156</v>
      </c>
      <c r="T19" s="2">
        <v>142</v>
      </c>
      <c r="U19" s="11">
        <v>1.1599999999999999</v>
      </c>
      <c r="V19" s="11">
        <v>7.09</v>
      </c>
      <c r="W19" s="11">
        <v>3.76</v>
      </c>
      <c r="X19" s="2" t="s">
        <v>86</v>
      </c>
      <c r="Y19" s="2">
        <v>0</v>
      </c>
      <c r="Z19" s="2"/>
      <c r="AA19" s="2">
        <v>43943</v>
      </c>
      <c r="AB19" s="2">
        <v>152</v>
      </c>
      <c r="AC19" s="11">
        <v>1.1100000000000001</v>
      </c>
      <c r="AD19" s="11">
        <v>7.18</v>
      </c>
      <c r="AE19" s="11">
        <v>3.28</v>
      </c>
      <c r="AF19" s="2" t="s">
        <v>86</v>
      </c>
      <c r="AG19" s="2">
        <v>0</v>
      </c>
      <c r="AH19" s="2"/>
      <c r="AI19" s="2">
        <v>44242</v>
      </c>
      <c r="AJ19" s="2">
        <v>128</v>
      </c>
      <c r="AK19" s="11">
        <v>1.1299999999999999</v>
      </c>
      <c r="AL19" s="11">
        <v>7.2</v>
      </c>
      <c r="AM19" s="11">
        <v>3.6</v>
      </c>
      <c r="AN19" s="2" t="s">
        <v>86</v>
      </c>
      <c r="AO19" s="2">
        <v>0</v>
      </c>
      <c r="AP19" s="2"/>
      <c r="AQ19" s="2">
        <v>44164</v>
      </c>
      <c r="AR19" s="2">
        <v>101</v>
      </c>
      <c r="AS19" s="11">
        <v>1.1100000000000001</v>
      </c>
      <c r="AT19" s="11">
        <v>7.24</v>
      </c>
      <c r="AU19" s="11">
        <v>2.79</v>
      </c>
      <c r="AV19" s="2" t="s">
        <v>86</v>
      </c>
      <c r="AW19" s="2">
        <v>0</v>
      </c>
      <c r="AX19" s="2"/>
      <c r="AY19" s="2"/>
      <c r="AZ19" s="12"/>
      <c r="BA19" s="11"/>
      <c r="BB19" s="11"/>
      <c r="BC19" s="11"/>
      <c r="BD19" s="2"/>
      <c r="BE19" s="2"/>
      <c r="BF19" s="2"/>
      <c r="BG19" s="2"/>
      <c r="BH19" s="2"/>
      <c r="BI19" s="11"/>
      <c r="BJ19" s="11"/>
      <c r="BK19" s="11"/>
      <c r="BL19" s="2"/>
      <c r="BM19" s="2"/>
      <c r="BN19" s="2"/>
      <c r="BO19" s="2"/>
      <c r="BP19" s="2"/>
      <c r="BQ19" s="11"/>
      <c r="BR19" s="11"/>
      <c r="BS19" s="11"/>
      <c r="BT19" s="2"/>
      <c r="BU19" s="2"/>
      <c r="BV19" s="2"/>
      <c r="BW19" s="2"/>
      <c r="BX19" s="2"/>
      <c r="BY19" s="11"/>
      <c r="BZ19" s="11"/>
      <c r="CA19" s="11"/>
      <c r="CB19" s="2"/>
      <c r="CC19" s="2"/>
      <c r="CD19" s="2"/>
      <c r="CE19" s="2"/>
      <c r="CF19" s="2"/>
      <c r="CG19" s="11"/>
      <c r="CH19" s="11"/>
      <c r="CI19" s="11"/>
      <c r="CJ19" s="2"/>
      <c r="CK19" s="2"/>
      <c r="CL19" s="2"/>
      <c r="CM19" s="2">
        <f t="shared" si="1"/>
        <v>63.29</v>
      </c>
      <c r="CN19" s="3">
        <f t="shared" si="2"/>
        <v>64.430000000000007</v>
      </c>
      <c r="CO19" s="2">
        <f t="shared" si="0"/>
        <v>19.358999999999998</v>
      </c>
      <c r="CP19" s="2"/>
    </row>
    <row r="20" spans="1:94" ht="15.75" customHeight="1">
      <c r="A20" s="1">
        <v>19</v>
      </c>
      <c r="B20" s="2">
        <v>20580</v>
      </c>
      <c r="C20" s="10">
        <v>45342</v>
      </c>
      <c r="D20" s="2">
        <v>6</v>
      </c>
      <c r="E20" s="2">
        <v>578</v>
      </c>
      <c r="F20" s="11">
        <v>1.07</v>
      </c>
      <c r="G20" s="11">
        <v>7.06</v>
      </c>
      <c r="H20" s="11">
        <v>3.56</v>
      </c>
      <c r="I20" s="11">
        <v>20.059999999999999</v>
      </c>
      <c r="J20" s="2" t="s">
        <v>88</v>
      </c>
      <c r="K20" s="2">
        <v>43661</v>
      </c>
      <c r="L20" s="2">
        <v>80</v>
      </c>
      <c r="M20" s="11">
        <v>1.2</v>
      </c>
      <c r="N20" s="11">
        <v>7.04</v>
      </c>
      <c r="O20" s="11">
        <v>2.67</v>
      </c>
      <c r="P20" s="2" t="s">
        <v>84</v>
      </c>
      <c r="Q20" s="2">
        <v>0</v>
      </c>
      <c r="R20" s="2"/>
      <c r="S20" s="2">
        <v>43999</v>
      </c>
      <c r="T20" s="2">
        <v>107</v>
      </c>
      <c r="U20" s="11">
        <v>1.01</v>
      </c>
      <c r="V20" s="11">
        <v>7.07</v>
      </c>
      <c r="W20" s="11">
        <v>4.13</v>
      </c>
      <c r="X20" s="2" t="s">
        <v>84</v>
      </c>
      <c r="Y20" s="2">
        <v>0</v>
      </c>
      <c r="Z20" s="2"/>
      <c r="AA20" s="2">
        <v>43658</v>
      </c>
      <c r="AB20" s="2">
        <v>76</v>
      </c>
      <c r="AC20" s="11">
        <v>1.1000000000000001</v>
      </c>
      <c r="AD20" s="11">
        <v>7.06</v>
      </c>
      <c r="AE20" s="11">
        <v>3.46</v>
      </c>
      <c r="AF20" s="2" t="s">
        <v>84</v>
      </c>
      <c r="AG20" s="2">
        <v>0</v>
      </c>
      <c r="AH20" s="2"/>
      <c r="AI20" s="2">
        <v>43898</v>
      </c>
      <c r="AJ20" s="2">
        <v>142</v>
      </c>
      <c r="AK20" s="11">
        <v>1.02</v>
      </c>
      <c r="AL20" s="11">
        <v>7.06</v>
      </c>
      <c r="AM20" s="11">
        <v>3.5</v>
      </c>
      <c r="AN20" s="2" t="s">
        <v>84</v>
      </c>
      <c r="AO20" s="2">
        <v>0</v>
      </c>
      <c r="AP20" s="2"/>
      <c r="AQ20" s="2">
        <v>43999</v>
      </c>
      <c r="AR20" s="2">
        <v>58</v>
      </c>
      <c r="AS20" s="11">
        <v>1.1100000000000001</v>
      </c>
      <c r="AT20" s="11">
        <v>6.94</v>
      </c>
      <c r="AU20" s="11">
        <v>5.21</v>
      </c>
      <c r="AV20" s="2" t="s">
        <v>84</v>
      </c>
      <c r="AW20" s="2">
        <v>0</v>
      </c>
      <c r="AX20" s="2"/>
      <c r="AY20" s="2">
        <v>43279</v>
      </c>
      <c r="AZ20" s="12">
        <v>115</v>
      </c>
      <c r="BA20" s="11">
        <v>1.01</v>
      </c>
      <c r="BB20" s="11">
        <v>7.01</v>
      </c>
      <c r="BC20" s="11">
        <v>3.05</v>
      </c>
      <c r="BD20" s="2" t="s">
        <v>84</v>
      </c>
      <c r="BE20" s="2">
        <v>0</v>
      </c>
      <c r="BF20" s="2"/>
      <c r="BG20" s="2"/>
      <c r="BH20" s="2"/>
      <c r="BI20" s="11"/>
      <c r="BJ20" s="11"/>
      <c r="BK20" s="11"/>
      <c r="BL20" s="2"/>
      <c r="BM20" s="2"/>
      <c r="BN20" s="2"/>
      <c r="BO20" s="2"/>
      <c r="BP20" s="2"/>
      <c r="BQ20" s="11"/>
      <c r="BR20" s="11"/>
      <c r="BS20" s="11"/>
      <c r="BT20" s="2"/>
      <c r="BU20" s="2"/>
      <c r="BV20" s="2"/>
      <c r="BW20" s="2"/>
      <c r="BX20" s="2"/>
      <c r="BY20" s="11"/>
      <c r="BZ20" s="11"/>
      <c r="CA20" s="11"/>
      <c r="CB20" s="2"/>
      <c r="CC20" s="2"/>
      <c r="CD20" s="2"/>
      <c r="CE20" s="2"/>
      <c r="CF20" s="2"/>
      <c r="CG20" s="11"/>
      <c r="CH20" s="11"/>
      <c r="CI20" s="11"/>
      <c r="CJ20" s="2"/>
      <c r="CK20" s="2"/>
      <c r="CL20" s="2"/>
      <c r="CM20" s="2">
        <f t="shared" si="1"/>
        <v>64.56</v>
      </c>
      <c r="CN20" s="3">
        <f t="shared" si="2"/>
        <v>65.63</v>
      </c>
      <c r="CO20" s="2">
        <f t="shared" si="0"/>
        <v>19.895999999999997</v>
      </c>
      <c r="CP20" s="2"/>
    </row>
    <row r="21" spans="1:94" ht="15.75" customHeight="1">
      <c r="A21" s="1">
        <v>20</v>
      </c>
      <c r="B21" s="2">
        <v>20581</v>
      </c>
      <c r="C21" s="10">
        <v>45342</v>
      </c>
      <c r="D21" s="2">
        <v>5</v>
      </c>
      <c r="E21" s="2">
        <v>509</v>
      </c>
      <c r="F21" s="11">
        <v>1.07</v>
      </c>
      <c r="G21" s="11">
        <v>7.13</v>
      </c>
      <c r="H21" s="11">
        <v>3.45</v>
      </c>
      <c r="I21" s="11">
        <v>19.84</v>
      </c>
      <c r="J21" s="2" t="s">
        <v>83</v>
      </c>
      <c r="K21" s="2">
        <v>43561</v>
      </c>
      <c r="L21" s="2">
        <v>84</v>
      </c>
      <c r="M21" s="11">
        <v>1.1399999999999999</v>
      </c>
      <c r="N21" s="11">
        <v>7.13</v>
      </c>
      <c r="O21" s="11">
        <v>3.53</v>
      </c>
      <c r="P21" s="2" t="s">
        <v>84</v>
      </c>
      <c r="Q21" s="2">
        <v>0</v>
      </c>
      <c r="R21" s="2"/>
      <c r="S21" s="2">
        <v>44032</v>
      </c>
      <c r="T21" s="2">
        <v>144</v>
      </c>
      <c r="U21" s="11">
        <v>1.08</v>
      </c>
      <c r="V21" s="11">
        <v>7.01</v>
      </c>
      <c r="W21" s="11">
        <v>3.95</v>
      </c>
      <c r="X21" s="2" t="s">
        <v>84</v>
      </c>
      <c r="Y21" s="2">
        <v>0</v>
      </c>
      <c r="Z21" s="2"/>
      <c r="AA21" s="2">
        <v>43658</v>
      </c>
      <c r="AB21" s="2">
        <v>109</v>
      </c>
      <c r="AC21" s="11">
        <v>1.0900000000000001</v>
      </c>
      <c r="AD21" s="11">
        <v>7.19</v>
      </c>
      <c r="AE21" s="11">
        <v>3.09</v>
      </c>
      <c r="AF21" s="2" t="s">
        <v>84</v>
      </c>
      <c r="AG21" s="2">
        <v>0</v>
      </c>
      <c r="AH21" s="2"/>
      <c r="AI21" s="2">
        <v>43996</v>
      </c>
      <c r="AJ21" s="2">
        <v>73</v>
      </c>
      <c r="AK21" s="11">
        <v>1.06</v>
      </c>
      <c r="AL21" s="11">
        <v>7.32</v>
      </c>
      <c r="AM21" s="11">
        <v>3.82</v>
      </c>
      <c r="AN21" s="2" t="s">
        <v>84</v>
      </c>
      <c r="AO21" s="2">
        <v>0</v>
      </c>
      <c r="AP21" s="2"/>
      <c r="AQ21" s="2">
        <v>43279</v>
      </c>
      <c r="AR21" s="2">
        <v>98</v>
      </c>
      <c r="AS21" s="11">
        <v>0.98</v>
      </c>
      <c r="AT21" s="11">
        <v>7</v>
      </c>
      <c r="AU21" s="11">
        <v>2.91</v>
      </c>
      <c r="AV21" s="2" t="s">
        <v>84</v>
      </c>
      <c r="AW21" s="2">
        <v>0</v>
      </c>
      <c r="AX21" s="2"/>
      <c r="AY21" s="2"/>
      <c r="AZ21" s="12"/>
      <c r="BA21" s="11"/>
      <c r="BB21" s="11"/>
      <c r="BC21" s="11"/>
      <c r="BD21" s="2"/>
      <c r="BE21" s="2"/>
      <c r="BF21" s="2"/>
      <c r="BG21" s="2"/>
      <c r="BH21" s="2"/>
      <c r="BI21" s="11"/>
      <c r="BJ21" s="11"/>
      <c r="BK21" s="11"/>
      <c r="BL21" s="2"/>
      <c r="BM21" s="2"/>
      <c r="BN21" s="2"/>
      <c r="BO21" s="2"/>
      <c r="BP21" s="2"/>
      <c r="BQ21" s="11"/>
      <c r="BR21" s="11"/>
      <c r="BS21" s="11"/>
      <c r="BT21" s="2"/>
      <c r="BU21" s="2"/>
      <c r="BV21" s="2"/>
      <c r="BW21" s="2"/>
      <c r="BX21" s="2"/>
      <c r="BY21" s="11"/>
      <c r="BZ21" s="11"/>
      <c r="CA21" s="11"/>
      <c r="CB21" s="2"/>
      <c r="CC21" s="2"/>
      <c r="CD21" s="2"/>
      <c r="CE21" s="2"/>
      <c r="CF21" s="2"/>
      <c r="CG21" s="11"/>
      <c r="CH21" s="11"/>
      <c r="CI21" s="11"/>
      <c r="CJ21" s="2"/>
      <c r="CK21" s="2"/>
      <c r="CL21" s="2"/>
      <c r="CM21" s="2">
        <f t="shared" si="1"/>
        <v>63.849999999999994</v>
      </c>
      <c r="CN21" s="3">
        <f t="shared" si="2"/>
        <v>64.92</v>
      </c>
      <c r="CO21" s="2">
        <f t="shared" si="0"/>
        <v>19.599</v>
      </c>
      <c r="CP21" s="2"/>
    </row>
    <row r="22" spans="1:94" ht="15.75" customHeight="1">
      <c r="A22" s="1">
        <v>21</v>
      </c>
      <c r="B22" s="2">
        <v>20584</v>
      </c>
      <c r="C22" s="10">
        <v>45343</v>
      </c>
      <c r="D22" s="2">
        <v>4</v>
      </c>
      <c r="E22" s="2">
        <v>452</v>
      </c>
      <c r="F22" s="11">
        <v>1.25</v>
      </c>
      <c r="G22" s="11">
        <v>7.16</v>
      </c>
      <c r="H22" s="11">
        <v>3.3</v>
      </c>
      <c r="I22" s="11">
        <v>19.760000000000002</v>
      </c>
      <c r="J22" s="2" t="s">
        <v>87</v>
      </c>
      <c r="K22" s="2">
        <v>44199</v>
      </c>
      <c r="L22" s="2">
        <v>116</v>
      </c>
      <c r="M22" s="11">
        <v>1.57</v>
      </c>
      <c r="N22" s="11">
        <v>6.97</v>
      </c>
      <c r="O22" s="11">
        <v>3.52</v>
      </c>
      <c r="P22" s="2" t="s">
        <v>86</v>
      </c>
      <c r="Q22" s="2">
        <v>0</v>
      </c>
      <c r="R22" s="2"/>
      <c r="S22" s="2">
        <v>44032</v>
      </c>
      <c r="T22" s="2">
        <v>113</v>
      </c>
      <c r="U22" s="11">
        <v>1.1399999999999999</v>
      </c>
      <c r="V22" s="11">
        <v>7.05</v>
      </c>
      <c r="W22" s="11">
        <v>3.88</v>
      </c>
      <c r="X22" s="2" t="s">
        <v>86</v>
      </c>
      <c r="Y22" s="2">
        <v>0</v>
      </c>
      <c r="Z22" s="2"/>
      <c r="AA22" s="2">
        <v>44156</v>
      </c>
      <c r="AB22" s="2">
        <v>99</v>
      </c>
      <c r="AC22" s="11">
        <v>1.23</v>
      </c>
      <c r="AD22" s="11">
        <v>7.09</v>
      </c>
      <c r="AE22" s="11">
        <v>3.82</v>
      </c>
      <c r="AF22" s="2" t="s">
        <v>86</v>
      </c>
      <c r="AG22" s="2">
        <v>0</v>
      </c>
      <c r="AH22" s="2"/>
      <c r="AI22" s="2">
        <v>44239</v>
      </c>
      <c r="AJ22" s="2">
        <v>124</v>
      </c>
      <c r="AK22" s="11">
        <v>1.05</v>
      </c>
      <c r="AL22" s="11">
        <v>7.44</v>
      </c>
      <c r="AM22" s="11">
        <v>2.13</v>
      </c>
      <c r="AN22" s="2" t="s">
        <v>86</v>
      </c>
      <c r="AO22" s="2">
        <v>0</v>
      </c>
      <c r="AP22" s="2"/>
      <c r="AQ22" s="2"/>
      <c r="AR22" s="2"/>
      <c r="AS22" s="11"/>
      <c r="AT22" s="11"/>
      <c r="AU22" s="11"/>
      <c r="AV22" s="2"/>
      <c r="AW22" s="2"/>
      <c r="AX22" s="2"/>
      <c r="AY22" s="2"/>
      <c r="AZ22" s="12"/>
      <c r="BA22" s="11"/>
      <c r="BB22" s="11"/>
      <c r="BC22" s="11"/>
      <c r="BD22" s="2"/>
      <c r="BE22" s="2"/>
      <c r="BF22" s="2"/>
      <c r="BG22" s="2"/>
      <c r="BH22" s="2"/>
      <c r="BI22" s="11"/>
      <c r="BJ22" s="11"/>
      <c r="BK22" s="11"/>
      <c r="BL22" s="2"/>
      <c r="BM22" s="2"/>
      <c r="BN22" s="2"/>
      <c r="BO22" s="2"/>
      <c r="BP22" s="2"/>
      <c r="BQ22" s="11"/>
      <c r="BR22" s="11"/>
      <c r="BS22" s="11"/>
      <c r="BT22" s="2"/>
      <c r="BU22" s="2"/>
      <c r="BV22" s="2"/>
      <c r="BW22" s="2"/>
      <c r="BX22" s="2"/>
      <c r="BY22" s="11"/>
      <c r="BZ22" s="11"/>
      <c r="CA22" s="11"/>
      <c r="CB22" s="2"/>
      <c r="CC22" s="2"/>
      <c r="CD22" s="2"/>
      <c r="CE22" s="2"/>
      <c r="CF22" s="2"/>
      <c r="CG22" s="11"/>
      <c r="CH22" s="11"/>
      <c r="CI22" s="11"/>
      <c r="CJ22" s="2"/>
      <c r="CK22" s="2"/>
      <c r="CL22" s="2"/>
      <c r="CM22" s="2">
        <f t="shared" si="1"/>
        <v>63.34</v>
      </c>
      <c r="CN22" s="3">
        <f t="shared" si="2"/>
        <v>64.59</v>
      </c>
      <c r="CO22" s="2">
        <f t="shared" si="0"/>
        <v>19.41</v>
      </c>
      <c r="CP22" s="2"/>
    </row>
    <row r="23" spans="1:94" ht="15.75" customHeight="1">
      <c r="A23" s="1">
        <v>22</v>
      </c>
      <c r="B23" s="2">
        <v>20585</v>
      </c>
      <c r="C23" s="10">
        <v>45343</v>
      </c>
      <c r="D23" s="2">
        <v>4</v>
      </c>
      <c r="E23" s="2">
        <v>557</v>
      </c>
      <c r="F23" s="11">
        <v>1.39</v>
      </c>
      <c r="G23" s="11">
        <v>7.12</v>
      </c>
      <c r="H23" s="11">
        <v>3.32</v>
      </c>
      <c r="I23" s="11">
        <v>20.010000000000002</v>
      </c>
      <c r="J23" s="2" t="s">
        <v>85</v>
      </c>
      <c r="K23" s="2">
        <v>44011</v>
      </c>
      <c r="L23" s="2">
        <v>141</v>
      </c>
      <c r="M23" s="11">
        <v>1.57</v>
      </c>
      <c r="N23" s="11">
        <v>7.19</v>
      </c>
      <c r="O23" s="11">
        <v>3.03</v>
      </c>
      <c r="P23" s="2" t="s">
        <v>86</v>
      </c>
      <c r="Q23" s="2">
        <v>0</v>
      </c>
      <c r="R23" s="2"/>
      <c r="S23" s="2">
        <v>44206</v>
      </c>
      <c r="T23" s="2">
        <v>134</v>
      </c>
      <c r="U23" s="11">
        <v>1.39</v>
      </c>
      <c r="V23" s="11">
        <v>7.21</v>
      </c>
      <c r="W23" s="11">
        <v>3.05</v>
      </c>
      <c r="X23" s="2" t="s">
        <v>86</v>
      </c>
      <c r="Y23" s="2">
        <v>0</v>
      </c>
      <c r="Z23" s="2"/>
      <c r="AA23" s="2">
        <v>44032</v>
      </c>
      <c r="AB23" s="2">
        <v>144</v>
      </c>
      <c r="AC23" s="11">
        <v>1.4</v>
      </c>
      <c r="AD23" s="11">
        <v>7.02</v>
      </c>
      <c r="AE23" s="11">
        <v>4.01</v>
      </c>
      <c r="AF23" s="2" t="s">
        <v>86</v>
      </c>
      <c r="AG23" s="2">
        <v>0</v>
      </c>
      <c r="AH23" s="2"/>
      <c r="AI23" s="2">
        <v>43707</v>
      </c>
      <c r="AJ23" s="2">
        <v>138</v>
      </c>
      <c r="AK23" s="11">
        <v>1.07</v>
      </c>
      <c r="AL23" s="11">
        <v>7.04</v>
      </c>
      <c r="AM23" s="11">
        <v>3.33</v>
      </c>
      <c r="AN23" s="2" t="s">
        <v>86</v>
      </c>
      <c r="AO23" s="2">
        <v>0</v>
      </c>
      <c r="AP23" s="2"/>
      <c r="AQ23" s="2"/>
      <c r="AR23" s="2"/>
      <c r="AS23" s="11"/>
      <c r="AT23" s="11"/>
      <c r="AU23" s="11"/>
      <c r="AV23" s="2"/>
      <c r="AW23" s="2"/>
      <c r="AX23" s="2"/>
      <c r="AY23" s="2"/>
      <c r="AZ23" s="12"/>
      <c r="BA23" s="11"/>
      <c r="BB23" s="11"/>
      <c r="BC23" s="11"/>
      <c r="BD23" s="2"/>
      <c r="BE23" s="2"/>
      <c r="BF23" s="2"/>
      <c r="BG23" s="2"/>
      <c r="BH23" s="2"/>
      <c r="BI23" s="11"/>
      <c r="BJ23" s="11"/>
      <c r="BK23" s="11"/>
      <c r="BL23" s="2"/>
      <c r="BM23" s="2"/>
      <c r="BN23" s="2"/>
      <c r="BO23" s="2"/>
      <c r="BP23" s="2"/>
      <c r="BQ23" s="11"/>
      <c r="BR23" s="11"/>
      <c r="BS23" s="11"/>
      <c r="BT23" s="2"/>
      <c r="BU23" s="2"/>
      <c r="BV23" s="2"/>
      <c r="BW23" s="2"/>
      <c r="BX23" s="2"/>
      <c r="BY23" s="11"/>
      <c r="BZ23" s="11"/>
      <c r="CA23" s="11"/>
      <c r="CB23" s="2"/>
      <c r="CC23" s="2"/>
      <c r="CD23" s="2"/>
      <c r="CE23" s="2"/>
      <c r="CF23" s="2"/>
      <c r="CG23" s="11"/>
      <c r="CH23" s="11"/>
      <c r="CI23" s="11"/>
      <c r="CJ23" s="2"/>
      <c r="CK23" s="2"/>
      <c r="CL23" s="2"/>
      <c r="CM23" s="2">
        <f t="shared" si="1"/>
        <v>63.92</v>
      </c>
      <c r="CN23" s="3">
        <f t="shared" si="2"/>
        <v>65.31</v>
      </c>
      <c r="CO23" s="2">
        <f t="shared" si="0"/>
        <v>19.631999999999998</v>
      </c>
      <c r="CP23" s="2"/>
    </row>
    <row r="24" spans="1:94" ht="15.75" customHeight="1">
      <c r="A24" s="1">
        <v>23</v>
      </c>
      <c r="B24" s="2">
        <v>20587</v>
      </c>
      <c r="C24" s="10">
        <v>45343</v>
      </c>
      <c r="D24" s="2">
        <v>4</v>
      </c>
      <c r="E24" s="2">
        <v>516</v>
      </c>
      <c r="F24" s="11">
        <v>1.34</v>
      </c>
      <c r="G24" s="11">
        <v>7.2</v>
      </c>
      <c r="H24" s="11">
        <v>3.24</v>
      </c>
      <c r="I24" s="11">
        <v>19.79</v>
      </c>
      <c r="J24" s="2" t="s">
        <v>87</v>
      </c>
      <c r="K24" s="2">
        <v>44011</v>
      </c>
      <c r="L24" s="2">
        <v>145</v>
      </c>
      <c r="M24" s="11">
        <v>1.47</v>
      </c>
      <c r="N24" s="11">
        <v>7.17</v>
      </c>
      <c r="O24" s="11">
        <v>2.87</v>
      </c>
      <c r="P24" s="2" t="s">
        <v>86</v>
      </c>
      <c r="Q24" s="2">
        <v>0</v>
      </c>
      <c r="R24" s="2"/>
      <c r="S24" s="2">
        <v>44231</v>
      </c>
      <c r="T24" s="2">
        <v>136</v>
      </c>
      <c r="U24" s="11">
        <v>1.33</v>
      </c>
      <c r="V24" s="11">
        <v>7.3</v>
      </c>
      <c r="W24" s="11">
        <v>3.46</v>
      </c>
      <c r="X24" s="2" t="s">
        <v>86</v>
      </c>
      <c r="Y24" s="2">
        <v>0</v>
      </c>
      <c r="Z24" s="2"/>
      <c r="AA24" s="2">
        <v>43943</v>
      </c>
      <c r="AB24" s="2">
        <v>99</v>
      </c>
      <c r="AC24" s="11">
        <v>1.17</v>
      </c>
      <c r="AD24" s="11">
        <v>7.17</v>
      </c>
      <c r="AE24" s="11">
        <v>3.3</v>
      </c>
      <c r="AF24" s="2" t="s">
        <v>86</v>
      </c>
      <c r="AG24" s="2">
        <v>0</v>
      </c>
      <c r="AH24" s="2"/>
      <c r="AI24" s="2">
        <v>44198</v>
      </c>
      <c r="AJ24" s="2">
        <v>135</v>
      </c>
      <c r="AK24" s="11">
        <v>1.29</v>
      </c>
      <c r="AL24" s="11">
        <v>7.1</v>
      </c>
      <c r="AM24" s="11">
        <v>3.35</v>
      </c>
      <c r="AN24" s="2" t="s">
        <v>86</v>
      </c>
      <c r="AO24" s="2">
        <v>0</v>
      </c>
      <c r="AP24" s="2"/>
      <c r="AQ24" s="2"/>
      <c r="AR24" s="2"/>
      <c r="AS24" s="11"/>
      <c r="AT24" s="11"/>
      <c r="AU24" s="11"/>
      <c r="AV24" s="2"/>
      <c r="AW24" s="2"/>
      <c r="AX24" s="2"/>
      <c r="AY24" s="2"/>
      <c r="AZ24" s="12"/>
      <c r="BA24" s="11"/>
      <c r="BB24" s="11"/>
      <c r="BC24" s="11"/>
      <c r="BD24" s="2"/>
      <c r="BE24" s="2"/>
      <c r="BF24" s="2"/>
      <c r="BG24" s="2"/>
      <c r="BH24" s="2"/>
      <c r="BI24" s="11"/>
      <c r="BJ24" s="11"/>
      <c r="BK24" s="11"/>
      <c r="BL24" s="2"/>
      <c r="BM24" s="2"/>
      <c r="BN24" s="2"/>
      <c r="BO24" s="2"/>
      <c r="BP24" s="2"/>
      <c r="BQ24" s="11"/>
      <c r="BR24" s="11"/>
      <c r="BS24" s="11"/>
      <c r="BT24" s="2"/>
      <c r="BU24" s="2"/>
      <c r="BV24" s="2"/>
      <c r="BW24" s="2"/>
      <c r="BX24" s="2"/>
      <c r="BY24" s="11"/>
      <c r="BZ24" s="11"/>
      <c r="CA24" s="11"/>
      <c r="CB24" s="2"/>
      <c r="CC24" s="2"/>
      <c r="CD24" s="2"/>
      <c r="CE24" s="2"/>
      <c r="CF24" s="2"/>
      <c r="CG24" s="11"/>
      <c r="CH24" s="11"/>
      <c r="CI24" s="11"/>
      <c r="CJ24" s="2"/>
      <c r="CK24" s="2"/>
      <c r="CL24" s="2"/>
      <c r="CM24" s="2">
        <f t="shared" si="1"/>
        <v>63.320000000000007</v>
      </c>
      <c r="CN24" s="3">
        <f t="shared" si="2"/>
        <v>64.66</v>
      </c>
      <c r="CO24" s="2">
        <f t="shared" si="0"/>
        <v>19.356000000000002</v>
      </c>
      <c r="CP24" s="2"/>
    </row>
    <row r="25" spans="1:94" ht="15.75" customHeight="1">
      <c r="A25" s="13">
        <v>24</v>
      </c>
      <c r="B25" s="2">
        <v>20599</v>
      </c>
      <c r="C25" s="10">
        <v>45345</v>
      </c>
      <c r="D25" s="14">
        <v>4</v>
      </c>
      <c r="E25" s="14">
        <v>555</v>
      </c>
      <c r="F25" s="15">
        <v>1.1100000000000001</v>
      </c>
      <c r="G25" s="15">
        <v>7.12</v>
      </c>
      <c r="H25" s="15">
        <v>3.48</v>
      </c>
      <c r="I25" s="15">
        <v>19.98</v>
      </c>
      <c r="J25" s="14" t="s">
        <v>88</v>
      </c>
      <c r="K25" s="14">
        <v>43580</v>
      </c>
      <c r="L25" s="14">
        <v>139</v>
      </c>
      <c r="M25" s="15">
        <v>1.24</v>
      </c>
      <c r="N25" s="15">
        <v>7.07</v>
      </c>
      <c r="O25" s="15">
        <v>4.0599999999999996</v>
      </c>
      <c r="P25" s="14" t="s">
        <v>84</v>
      </c>
      <c r="Q25" s="14">
        <v>0</v>
      </c>
      <c r="R25" s="14"/>
      <c r="S25" s="14">
        <v>44232</v>
      </c>
      <c r="T25" s="14">
        <v>132</v>
      </c>
      <c r="U25" s="15">
        <v>0.95</v>
      </c>
      <c r="V25" s="15">
        <v>7.15</v>
      </c>
      <c r="W25" s="15">
        <v>2.94</v>
      </c>
      <c r="X25" s="14" t="s">
        <v>84</v>
      </c>
      <c r="Y25" s="14">
        <v>0</v>
      </c>
      <c r="Z25" s="14"/>
      <c r="AA25" s="14">
        <v>43217</v>
      </c>
      <c r="AB25" s="14">
        <v>140</v>
      </c>
      <c r="AC25" s="15">
        <v>1.06</v>
      </c>
      <c r="AD25" s="15">
        <v>7.1</v>
      </c>
      <c r="AE25" s="15">
        <v>3.42</v>
      </c>
      <c r="AF25" s="14" t="s">
        <v>84</v>
      </c>
      <c r="AG25" s="14">
        <v>0</v>
      </c>
      <c r="AH25" s="14"/>
      <c r="AI25" s="14">
        <v>43217</v>
      </c>
      <c r="AJ25" s="14">
        <v>143</v>
      </c>
      <c r="AK25" s="15">
        <v>1.06</v>
      </c>
      <c r="AL25" s="15">
        <v>7.04</v>
      </c>
      <c r="AM25" s="15">
        <v>3.69</v>
      </c>
      <c r="AN25" s="14" t="s">
        <v>84</v>
      </c>
      <c r="AO25" s="14">
        <v>0</v>
      </c>
      <c r="AP25" s="14"/>
      <c r="AQ25" s="14"/>
      <c r="AR25" s="14"/>
      <c r="AS25" s="15"/>
      <c r="AT25" s="15"/>
      <c r="AU25" s="15"/>
      <c r="AV25" s="14"/>
      <c r="AW25" s="14"/>
      <c r="AX25" s="14"/>
      <c r="AY25" s="14"/>
      <c r="AZ25" s="16"/>
      <c r="BA25" s="15"/>
      <c r="BB25" s="15"/>
      <c r="BC25" s="15"/>
      <c r="BD25" s="14"/>
      <c r="BE25" s="14"/>
      <c r="BF25" s="14"/>
      <c r="BG25" s="14"/>
      <c r="BH25" s="14"/>
      <c r="BI25" s="15"/>
      <c r="BJ25" s="15"/>
      <c r="BK25" s="15"/>
      <c r="BL25" s="14"/>
      <c r="BM25" s="14"/>
      <c r="BN25" s="14"/>
      <c r="BO25" s="14"/>
      <c r="BP25" s="14"/>
      <c r="BQ25" s="15"/>
      <c r="BR25" s="15"/>
      <c r="BS25" s="15"/>
      <c r="BT25" s="14"/>
      <c r="BU25" s="14"/>
      <c r="BV25" s="14"/>
      <c r="BW25" s="14"/>
      <c r="BX25" s="14"/>
      <c r="BY25" s="15"/>
      <c r="BZ25" s="15"/>
      <c r="CA25" s="15"/>
      <c r="CB25" s="14"/>
      <c r="CC25" s="14"/>
      <c r="CD25" s="14"/>
      <c r="CE25" s="14"/>
      <c r="CF25" s="14"/>
      <c r="CG25" s="15"/>
      <c r="CH25" s="15"/>
      <c r="CI25" s="15"/>
      <c r="CJ25" s="14"/>
      <c r="CK25" s="14"/>
      <c r="CL25" s="14"/>
      <c r="CM25" s="14">
        <f t="shared" si="1"/>
        <v>64.240000000000009</v>
      </c>
      <c r="CN25" s="17">
        <f t="shared" si="2"/>
        <v>65.349999999999994</v>
      </c>
      <c r="CO25" s="14">
        <f t="shared" si="0"/>
        <v>19.727999999999998</v>
      </c>
      <c r="CP25" s="14"/>
    </row>
    <row r="26" spans="1:94" ht="15.75" customHeight="1">
      <c r="A26" s="1">
        <v>25</v>
      </c>
      <c r="B26" s="2">
        <v>20600</v>
      </c>
      <c r="C26" s="10">
        <v>45345</v>
      </c>
      <c r="D26" s="2">
        <v>5</v>
      </c>
      <c r="E26" s="2">
        <v>571</v>
      </c>
      <c r="F26" s="11">
        <v>1.1100000000000001</v>
      </c>
      <c r="G26" s="11">
        <v>7.08</v>
      </c>
      <c r="H26" s="11">
        <v>3.49</v>
      </c>
      <c r="I26" s="11">
        <v>19.96</v>
      </c>
      <c r="J26" s="2" t="s">
        <v>88</v>
      </c>
      <c r="K26" s="2">
        <v>43961</v>
      </c>
      <c r="L26" s="2">
        <v>86</v>
      </c>
      <c r="M26" s="11">
        <v>1.23</v>
      </c>
      <c r="N26" s="11">
        <v>6.93</v>
      </c>
      <c r="O26" s="11">
        <v>4.1399999999999997</v>
      </c>
      <c r="P26" s="2" t="s">
        <v>84</v>
      </c>
      <c r="Q26" s="2">
        <v>0</v>
      </c>
      <c r="R26" s="2"/>
      <c r="S26" s="2">
        <v>43856</v>
      </c>
      <c r="T26" s="2">
        <v>135</v>
      </c>
      <c r="U26" s="11">
        <v>0.92</v>
      </c>
      <c r="V26" s="11">
        <v>7.08</v>
      </c>
      <c r="W26" s="11">
        <v>3.48</v>
      </c>
      <c r="X26" s="2" t="s">
        <v>84</v>
      </c>
      <c r="Y26" s="2">
        <v>0</v>
      </c>
      <c r="Z26" s="2"/>
      <c r="AA26" s="2">
        <v>43961</v>
      </c>
      <c r="AB26" s="2">
        <v>81</v>
      </c>
      <c r="AC26" s="11">
        <v>1.1200000000000001</v>
      </c>
      <c r="AD26" s="11">
        <v>6.9</v>
      </c>
      <c r="AE26" s="11">
        <v>3.18</v>
      </c>
      <c r="AF26" s="2" t="s">
        <v>84</v>
      </c>
      <c r="AG26" s="2">
        <v>0</v>
      </c>
      <c r="AH26" s="2"/>
      <c r="AI26" s="2">
        <v>43580</v>
      </c>
      <c r="AJ26" s="2">
        <v>138</v>
      </c>
      <c r="AK26" s="11">
        <v>1.1599999999999999</v>
      </c>
      <c r="AL26" s="11">
        <v>7.16</v>
      </c>
      <c r="AM26" s="11">
        <v>4.09</v>
      </c>
      <c r="AN26" s="2" t="s">
        <v>84</v>
      </c>
      <c r="AO26" s="2">
        <v>0</v>
      </c>
      <c r="AP26" s="2"/>
      <c r="AQ26" s="2">
        <v>44232</v>
      </c>
      <c r="AR26" s="2">
        <v>131</v>
      </c>
      <c r="AS26" s="11">
        <v>1.04</v>
      </c>
      <c r="AT26" s="11">
        <v>7.05</v>
      </c>
      <c r="AU26" s="11">
        <v>2.91</v>
      </c>
      <c r="AV26" s="2" t="s">
        <v>84</v>
      </c>
      <c r="AW26" s="2">
        <v>0</v>
      </c>
      <c r="AX26" s="2"/>
      <c r="AY26" s="2"/>
      <c r="AZ26" s="12"/>
      <c r="BA26" s="11"/>
      <c r="BB26" s="11"/>
      <c r="BC26" s="11"/>
      <c r="BD26" s="2"/>
      <c r="BE26" s="2"/>
      <c r="BF26" s="2"/>
      <c r="BG26" s="2"/>
      <c r="BH26" s="2"/>
      <c r="BI26" s="11"/>
      <c r="BJ26" s="11"/>
      <c r="BK26" s="11"/>
      <c r="BL26" s="2"/>
      <c r="BM26" s="2"/>
      <c r="BN26" s="2"/>
      <c r="BO26" s="2"/>
      <c r="BP26" s="2"/>
      <c r="BQ26" s="11"/>
      <c r="BR26" s="11"/>
      <c r="BS26" s="11"/>
      <c r="BT26" s="2"/>
      <c r="BU26" s="2"/>
      <c r="BV26" s="2"/>
      <c r="BW26" s="2"/>
      <c r="BX26" s="2"/>
      <c r="BY26" s="11"/>
      <c r="BZ26" s="11"/>
      <c r="CA26" s="11"/>
      <c r="CB26" s="2"/>
      <c r="CC26" s="2"/>
      <c r="CD26" s="2"/>
      <c r="CE26" s="2"/>
      <c r="CF26" s="2"/>
      <c r="CG26" s="11"/>
      <c r="CH26" s="11"/>
      <c r="CI26" s="11"/>
      <c r="CJ26" s="2"/>
      <c r="CK26" s="2"/>
      <c r="CL26" s="2"/>
      <c r="CM26" s="2">
        <f t="shared" si="1"/>
        <v>64.17</v>
      </c>
      <c r="CN26" s="3">
        <f t="shared" si="2"/>
        <v>65.28</v>
      </c>
      <c r="CO26" s="2">
        <f t="shared" si="0"/>
        <v>19.754999999999999</v>
      </c>
      <c r="CP26" s="2"/>
    </row>
    <row r="27" spans="1:94" ht="15.75" customHeight="1">
      <c r="A27" s="18">
        <v>26</v>
      </c>
      <c r="B27" s="2">
        <v>20606</v>
      </c>
      <c r="C27" s="10">
        <v>45349</v>
      </c>
      <c r="D27" s="19">
        <v>4</v>
      </c>
      <c r="E27" s="19">
        <v>450</v>
      </c>
      <c r="F27" s="20">
        <v>1.1100000000000001</v>
      </c>
      <c r="G27" s="20">
        <v>7.11</v>
      </c>
      <c r="H27" s="20">
        <v>3.51</v>
      </c>
      <c r="I27" s="20">
        <v>20.05</v>
      </c>
      <c r="J27" s="19" t="s">
        <v>83</v>
      </c>
      <c r="K27" s="19">
        <v>43580</v>
      </c>
      <c r="L27" s="19">
        <v>96</v>
      </c>
      <c r="M27" s="20">
        <v>1.29</v>
      </c>
      <c r="N27" s="20">
        <v>7.11</v>
      </c>
      <c r="O27" s="20">
        <v>3.88</v>
      </c>
      <c r="P27" s="19" t="s">
        <v>84</v>
      </c>
      <c r="Q27" s="19">
        <v>0</v>
      </c>
      <c r="R27" s="19"/>
      <c r="S27" s="19">
        <v>43217</v>
      </c>
      <c r="T27" s="19">
        <v>85</v>
      </c>
      <c r="U27" s="20">
        <v>1.05</v>
      </c>
      <c r="V27" s="20">
        <v>7.06</v>
      </c>
      <c r="W27" s="20">
        <v>3.78</v>
      </c>
      <c r="X27" s="19" t="s">
        <v>84</v>
      </c>
      <c r="Y27" s="19">
        <v>0</v>
      </c>
      <c r="Z27" s="19"/>
      <c r="AA27" s="19">
        <v>43251</v>
      </c>
      <c r="AB27" s="19">
        <v>119</v>
      </c>
      <c r="AC27" s="20">
        <v>1.04</v>
      </c>
      <c r="AD27" s="20">
        <v>6.96</v>
      </c>
      <c r="AE27" s="20">
        <v>3.41</v>
      </c>
      <c r="AF27" s="19" t="s">
        <v>84</v>
      </c>
      <c r="AG27" s="19">
        <v>0</v>
      </c>
      <c r="AH27" s="19"/>
      <c r="AI27" s="19">
        <v>43519</v>
      </c>
      <c r="AJ27" s="19">
        <v>151</v>
      </c>
      <c r="AK27" s="20">
        <v>0.96</v>
      </c>
      <c r="AL27" s="20">
        <v>7.14</v>
      </c>
      <c r="AM27" s="20">
        <v>3.22</v>
      </c>
      <c r="AN27" s="19" t="s">
        <v>84</v>
      </c>
      <c r="AO27" s="19">
        <v>0</v>
      </c>
      <c r="AP27" s="19"/>
      <c r="AQ27" s="19"/>
      <c r="AR27" s="19"/>
      <c r="AS27" s="20"/>
      <c r="AT27" s="20"/>
      <c r="AU27" s="20"/>
      <c r="AV27" s="19"/>
      <c r="AW27" s="19"/>
      <c r="AX27" s="19"/>
      <c r="AY27" s="19"/>
      <c r="AZ27" s="21"/>
      <c r="BA27" s="20"/>
      <c r="BB27" s="20"/>
      <c r="BC27" s="20"/>
      <c r="BD27" s="19"/>
      <c r="BE27" s="19"/>
      <c r="BF27" s="19"/>
      <c r="BG27" s="19"/>
      <c r="BH27" s="19"/>
      <c r="BI27" s="20"/>
      <c r="BJ27" s="20"/>
      <c r="BK27" s="20"/>
      <c r="BL27" s="19"/>
      <c r="BM27" s="19"/>
      <c r="BN27" s="19"/>
      <c r="BO27" s="19"/>
      <c r="BP27" s="19"/>
      <c r="BQ27" s="20"/>
      <c r="BR27" s="20"/>
      <c r="BS27" s="20"/>
      <c r="BT27" s="19"/>
      <c r="BU27" s="19"/>
      <c r="BV27" s="19"/>
      <c r="BW27" s="19"/>
      <c r="BX27" s="19"/>
      <c r="BY27" s="20"/>
      <c r="BZ27" s="20"/>
      <c r="CA27" s="20"/>
      <c r="CB27" s="19"/>
      <c r="CC27" s="19"/>
      <c r="CD27" s="19"/>
      <c r="CE27" s="19"/>
      <c r="CF27" s="19"/>
      <c r="CG27" s="20"/>
      <c r="CH27" s="20"/>
      <c r="CI27" s="20"/>
      <c r="CJ27" s="19"/>
      <c r="CK27" s="19"/>
      <c r="CL27" s="19"/>
      <c r="CM27" s="19">
        <f t="shared" si="1"/>
        <v>64.47</v>
      </c>
      <c r="CN27" s="22">
        <f t="shared" si="2"/>
        <v>65.58</v>
      </c>
      <c r="CO27" s="19">
        <f t="shared" si="0"/>
        <v>19.809000000000001</v>
      </c>
      <c r="CP27" s="19"/>
    </row>
    <row r="28" spans="1:94" ht="15.75" customHeight="1">
      <c r="A28" s="1">
        <v>27</v>
      </c>
      <c r="B28" s="2">
        <v>20607</v>
      </c>
      <c r="C28" s="10">
        <v>45349</v>
      </c>
      <c r="D28" s="2">
        <v>4</v>
      </c>
      <c r="E28" s="2">
        <v>473</v>
      </c>
      <c r="F28" s="11">
        <v>1.1200000000000001</v>
      </c>
      <c r="G28" s="11">
        <v>7.07</v>
      </c>
      <c r="H28" s="11">
        <v>3.57</v>
      </c>
      <c r="I28" s="11">
        <v>20.18</v>
      </c>
      <c r="J28" s="2" t="s">
        <v>83</v>
      </c>
      <c r="K28" s="2">
        <v>43837</v>
      </c>
      <c r="L28" s="2">
        <v>129</v>
      </c>
      <c r="M28" s="11">
        <v>1.23</v>
      </c>
      <c r="N28" s="11">
        <v>6.94</v>
      </c>
      <c r="O28" s="11">
        <v>3.89</v>
      </c>
      <c r="P28" s="2" t="s">
        <v>84</v>
      </c>
      <c r="Q28" s="2">
        <v>0</v>
      </c>
      <c r="R28" s="2"/>
      <c r="S28" s="2">
        <v>42897</v>
      </c>
      <c r="T28" s="2">
        <v>108</v>
      </c>
      <c r="U28" s="11">
        <v>1.03</v>
      </c>
      <c r="V28" s="11">
        <v>7.15</v>
      </c>
      <c r="W28" s="11">
        <v>3.47</v>
      </c>
      <c r="X28" s="2" t="s">
        <v>84</v>
      </c>
      <c r="Y28" s="2">
        <v>0</v>
      </c>
      <c r="Z28" s="2"/>
      <c r="AA28" s="2">
        <v>43883</v>
      </c>
      <c r="AB28" s="2">
        <v>92</v>
      </c>
      <c r="AC28" s="11">
        <v>1.0900000000000001</v>
      </c>
      <c r="AD28" s="11">
        <v>7.18</v>
      </c>
      <c r="AE28" s="11">
        <v>3.8</v>
      </c>
      <c r="AF28" s="2" t="s">
        <v>84</v>
      </c>
      <c r="AG28" s="2">
        <v>0</v>
      </c>
      <c r="AH28" s="2"/>
      <c r="AI28" s="2">
        <v>43217</v>
      </c>
      <c r="AJ28" s="2">
        <v>145</v>
      </c>
      <c r="AK28" s="11">
        <v>1.03</v>
      </c>
      <c r="AL28" s="11">
        <v>6.98</v>
      </c>
      <c r="AM28" s="11">
        <v>3.31</v>
      </c>
      <c r="AN28" s="2" t="s">
        <v>84</v>
      </c>
      <c r="AO28" s="2">
        <v>0</v>
      </c>
      <c r="AP28" s="2"/>
      <c r="AQ28" s="2"/>
      <c r="AR28" s="2"/>
      <c r="AS28" s="11"/>
      <c r="AT28" s="11"/>
      <c r="AU28" s="11"/>
      <c r="AV28" s="2"/>
      <c r="AW28" s="2"/>
      <c r="AX28" s="2"/>
      <c r="AY28" s="2"/>
      <c r="AZ28" s="12"/>
      <c r="BA28" s="11"/>
      <c r="BB28" s="11"/>
      <c r="BC28" s="11"/>
      <c r="BD28" s="2"/>
      <c r="BE28" s="2"/>
      <c r="BF28" s="2"/>
      <c r="BG28" s="2"/>
      <c r="BH28" s="2"/>
      <c r="BI28" s="11"/>
      <c r="BJ28" s="11"/>
      <c r="BK28" s="11"/>
      <c r="BL28" s="2"/>
      <c r="BM28" s="2"/>
      <c r="BN28" s="2"/>
      <c r="BO28" s="2"/>
      <c r="BP28" s="2"/>
      <c r="BQ28" s="11"/>
      <c r="BR28" s="11"/>
      <c r="BS28" s="11"/>
      <c r="BT28" s="2"/>
      <c r="BU28" s="2"/>
      <c r="BV28" s="2"/>
      <c r="BW28" s="2"/>
      <c r="BX28" s="2"/>
      <c r="BY28" s="11"/>
      <c r="BZ28" s="11"/>
      <c r="CA28" s="11"/>
      <c r="CB28" s="2"/>
      <c r="CC28" s="2"/>
      <c r="CD28" s="2"/>
      <c r="CE28" s="2"/>
      <c r="CF28" s="2"/>
      <c r="CG28" s="11"/>
      <c r="CH28" s="11"/>
      <c r="CI28" s="11"/>
      <c r="CJ28" s="2"/>
      <c r="CK28" s="2"/>
      <c r="CL28" s="2"/>
      <c r="CM28" s="2">
        <f t="shared" si="1"/>
        <v>64.89</v>
      </c>
      <c r="CN28" s="3">
        <f t="shared" si="2"/>
        <v>66.009999999999991</v>
      </c>
      <c r="CO28" s="2">
        <f t="shared" si="0"/>
        <v>19.983000000000001</v>
      </c>
      <c r="CP28" s="2"/>
    </row>
    <row r="29" spans="1:94" ht="15.75" customHeight="1">
      <c r="A29" s="1">
        <v>28</v>
      </c>
      <c r="B29" s="2">
        <v>20608</v>
      </c>
      <c r="C29" s="10">
        <v>45349</v>
      </c>
      <c r="D29" s="2">
        <v>3</v>
      </c>
      <c r="E29" s="2">
        <v>306</v>
      </c>
      <c r="F29" s="11">
        <v>1.07</v>
      </c>
      <c r="G29" s="11">
        <v>7.13</v>
      </c>
      <c r="H29" s="11">
        <v>3.77</v>
      </c>
      <c r="I29" s="11">
        <v>20.72</v>
      </c>
      <c r="J29" s="2" t="s">
        <v>89</v>
      </c>
      <c r="K29" s="2">
        <v>44085</v>
      </c>
      <c r="L29" s="2">
        <v>131</v>
      </c>
      <c r="M29" s="11">
        <v>1.04</v>
      </c>
      <c r="N29" s="11">
        <v>7.06</v>
      </c>
      <c r="O29" s="11">
        <v>3.1</v>
      </c>
      <c r="P29" s="2" t="s">
        <v>84</v>
      </c>
      <c r="Q29" s="2">
        <v>0</v>
      </c>
      <c r="R29" s="2"/>
      <c r="S29" s="2">
        <v>44230</v>
      </c>
      <c r="T29" s="2">
        <v>135</v>
      </c>
      <c r="U29" s="11">
        <v>1.06</v>
      </c>
      <c r="V29" s="11">
        <v>7.09</v>
      </c>
      <c r="W29" s="11">
        <v>4.58</v>
      </c>
      <c r="X29" s="2" t="s">
        <v>84</v>
      </c>
      <c r="Y29" s="2">
        <v>0</v>
      </c>
      <c r="Z29" s="2"/>
      <c r="AA29" s="2">
        <v>44148</v>
      </c>
      <c r="AB29" s="2">
        <v>39</v>
      </c>
      <c r="AC29" s="11">
        <v>1.1200000000000001</v>
      </c>
      <c r="AD29" s="11">
        <v>7.26</v>
      </c>
      <c r="AE29" s="11">
        <v>3.56</v>
      </c>
      <c r="AF29" s="2" t="s">
        <v>84</v>
      </c>
      <c r="AG29" s="2">
        <v>0</v>
      </c>
      <c r="AH29" s="2"/>
      <c r="AI29" s="2"/>
      <c r="AJ29" s="2"/>
      <c r="AK29" s="11"/>
      <c r="AL29" s="11"/>
      <c r="AM29" s="11"/>
      <c r="AN29" s="2"/>
      <c r="AO29" s="2"/>
      <c r="AP29" s="2"/>
      <c r="AQ29" s="2"/>
      <c r="AR29" s="2"/>
      <c r="AS29" s="11"/>
      <c r="AT29" s="11"/>
      <c r="AU29" s="11"/>
      <c r="AV29" s="2"/>
      <c r="AW29" s="2"/>
      <c r="AX29" s="2"/>
      <c r="AY29" s="2"/>
      <c r="AZ29" s="12"/>
      <c r="BA29" s="11"/>
      <c r="BB29" s="11"/>
      <c r="BC29" s="11"/>
      <c r="BD29" s="2"/>
      <c r="BE29" s="2"/>
      <c r="BF29" s="2"/>
      <c r="BG29" s="2"/>
      <c r="BH29" s="2"/>
      <c r="BI29" s="11"/>
      <c r="BJ29" s="11"/>
      <c r="BK29" s="11"/>
      <c r="BL29" s="2"/>
      <c r="BM29" s="2"/>
      <c r="BN29" s="2"/>
      <c r="BO29" s="2"/>
      <c r="BP29" s="2"/>
      <c r="BQ29" s="11"/>
      <c r="BR29" s="11"/>
      <c r="BS29" s="11"/>
      <c r="BT29" s="2"/>
      <c r="BU29" s="2"/>
      <c r="BV29" s="2"/>
      <c r="BW29" s="2"/>
      <c r="BX29" s="2"/>
      <c r="BY29" s="11"/>
      <c r="BZ29" s="11"/>
      <c r="CA29" s="11"/>
      <c r="CB29" s="2"/>
      <c r="CC29" s="2"/>
      <c r="CD29" s="2"/>
      <c r="CE29" s="2"/>
      <c r="CF29" s="2"/>
      <c r="CG29" s="11"/>
      <c r="CH29" s="11"/>
      <c r="CI29" s="11"/>
      <c r="CJ29" s="2"/>
      <c r="CK29" s="2"/>
      <c r="CL29" s="2"/>
      <c r="CM29" s="2">
        <f t="shared" si="1"/>
        <v>66.72999999999999</v>
      </c>
      <c r="CN29" s="3">
        <f t="shared" si="2"/>
        <v>67.8</v>
      </c>
      <c r="CO29" s="2">
        <f t="shared" si="0"/>
        <v>20.463000000000001</v>
      </c>
      <c r="CP29" s="2"/>
    </row>
    <row r="30" spans="1:94" ht="15.75" customHeight="1">
      <c r="A30" s="1">
        <v>29</v>
      </c>
      <c r="B30" s="2">
        <v>20613</v>
      </c>
      <c r="C30" s="10">
        <v>45350</v>
      </c>
      <c r="D30" s="2">
        <v>4</v>
      </c>
      <c r="E30" s="2">
        <v>481</v>
      </c>
      <c r="F30" s="11">
        <v>1.24</v>
      </c>
      <c r="G30" s="11">
        <v>7.17</v>
      </c>
      <c r="H30" s="11">
        <v>3.43</v>
      </c>
      <c r="I30" s="11">
        <v>20.12</v>
      </c>
      <c r="J30" s="2" t="s">
        <v>87</v>
      </c>
      <c r="K30" s="2">
        <v>44286</v>
      </c>
      <c r="L30" s="2">
        <v>119</v>
      </c>
      <c r="M30" s="11">
        <v>1.68</v>
      </c>
      <c r="N30" s="11">
        <v>7.02</v>
      </c>
      <c r="O30" s="11">
        <v>3</v>
      </c>
      <c r="P30" s="2" t="s">
        <v>86</v>
      </c>
      <c r="Q30" s="2">
        <v>0</v>
      </c>
      <c r="R30" s="2"/>
      <c r="S30" s="2">
        <v>44224</v>
      </c>
      <c r="T30" s="2">
        <v>120</v>
      </c>
      <c r="U30" s="11">
        <v>0.97</v>
      </c>
      <c r="V30" s="11">
        <v>7.09</v>
      </c>
      <c r="W30" s="11">
        <v>3.68</v>
      </c>
      <c r="X30" s="2" t="s">
        <v>86</v>
      </c>
      <c r="Y30" s="2">
        <v>0</v>
      </c>
      <c r="Z30" s="2"/>
      <c r="AA30" s="2">
        <v>44200</v>
      </c>
      <c r="AB30" s="2">
        <v>101</v>
      </c>
      <c r="AC30" s="11">
        <v>1.23</v>
      </c>
      <c r="AD30" s="11">
        <v>7.14</v>
      </c>
      <c r="AE30" s="11">
        <v>3.33</v>
      </c>
      <c r="AF30" s="2" t="s">
        <v>86</v>
      </c>
      <c r="AG30" s="2">
        <v>0</v>
      </c>
      <c r="AH30" s="2"/>
      <c r="AI30" s="2">
        <v>44263</v>
      </c>
      <c r="AJ30" s="2">
        <v>141</v>
      </c>
      <c r="AK30" s="11">
        <v>0.99</v>
      </c>
      <c r="AL30" s="11">
        <v>7.29</v>
      </c>
      <c r="AM30" s="11">
        <v>3.79</v>
      </c>
      <c r="AN30" s="2" t="s">
        <v>86</v>
      </c>
      <c r="AO30" s="2">
        <v>0</v>
      </c>
      <c r="AP30" s="2"/>
      <c r="AQ30" s="2"/>
      <c r="AR30" s="2"/>
      <c r="AS30" s="11"/>
      <c r="AT30" s="11"/>
      <c r="AU30" s="11"/>
      <c r="AV30" s="2"/>
      <c r="AW30" s="2"/>
      <c r="AX30" s="2"/>
      <c r="AY30" s="2"/>
      <c r="AZ30" s="12"/>
      <c r="BA30" s="11"/>
      <c r="BB30" s="11"/>
      <c r="BC30" s="11"/>
      <c r="BD30" s="2"/>
      <c r="BE30" s="2"/>
      <c r="BF30" s="2"/>
      <c r="BG30" s="2"/>
      <c r="BH30" s="2"/>
      <c r="BI30" s="11"/>
      <c r="BJ30" s="11"/>
      <c r="BK30" s="11"/>
      <c r="BL30" s="2"/>
      <c r="BM30" s="2"/>
      <c r="BN30" s="2"/>
      <c r="BO30" s="2"/>
      <c r="BP30" s="2"/>
      <c r="BQ30" s="11"/>
      <c r="BR30" s="11"/>
      <c r="BS30" s="11"/>
      <c r="BT30" s="2"/>
      <c r="BU30" s="2"/>
      <c r="BV30" s="2"/>
      <c r="BW30" s="2"/>
      <c r="BX30" s="2"/>
      <c r="BY30" s="11"/>
      <c r="BZ30" s="11"/>
      <c r="CA30" s="11"/>
      <c r="CB30" s="2"/>
      <c r="CC30" s="2"/>
      <c r="CD30" s="2"/>
      <c r="CE30" s="2"/>
      <c r="CF30" s="2"/>
      <c r="CG30" s="11"/>
      <c r="CH30" s="11"/>
      <c r="CI30" s="11"/>
      <c r="CJ30" s="2"/>
      <c r="CK30" s="2"/>
      <c r="CL30" s="2"/>
      <c r="CM30" s="2">
        <f t="shared" si="1"/>
        <v>64.510000000000005</v>
      </c>
      <c r="CN30" s="3">
        <f t="shared" si="2"/>
        <v>65.75</v>
      </c>
      <c r="CO30" s="2">
        <f t="shared" si="0"/>
        <v>19.748999999999999</v>
      </c>
      <c r="CP30" s="2"/>
    </row>
    <row r="31" spans="1:94" ht="15.75" customHeight="1">
      <c r="A31" s="1">
        <v>30</v>
      </c>
      <c r="B31" s="2">
        <v>20614</v>
      </c>
      <c r="C31" s="10">
        <v>45350</v>
      </c>
      <c r="D31" s="2">
        <v>4</v>
      </c>
      <c r="E31" s="2">
        <v>385</v>
      </c>
      <c r="F31" s="11">
        <v>1.21</v>
      </c>
      <c r="G31" s="11">
        <v>7.2</v>
      </c>
      <c r="H31" s="11">
        <v>3.39</v>
      </c>
      <c r="I31" s="11">
        <v>19.989999999999998</v>
      </c>
      <c r="J31" s="2" t="s">
        <v>87</v>
      </c>
      <c r="K31" s="2">
        <v>44067</v>
      </c>
      <c r="L31" s="2">
        <v>106</v>
      </c>
      <c r="M31" s="11">
        <v>1.4</v>
      </c>
      <c r="N31" s="11">
        <v>7.53</v>
      </c>
      <c r="O31" s="11">
        <v>3.79</v>
      </c>
      <c r="P31" s="2" t="s">
        <v>86</v>
      </c>
      <c r="Q31" s="2">
        <v>0</v>
      </c>
      <c r="R31" s="2"/>
      <c r="S31" s="2">
        <v>44081</v>
      </c>
      <c r="T31" s="2">
        <v>101</v>
      </c>
      <c r="U31" s="11">
        <v>1.0900000000000001</v>
      </c>
      <c r="V31" s="11">
        <v>7</v>
      </c>
      <c r="W31" s="11">
        <v>3.77</v>
      </c>
      <c r="X31" s="2" t="s">
        <v>86</v>
      </c>
      <c r="Y31" s="2">
        <v>0</v>
      </c>
      <c r="Z31" s="2"/>
      <c r="AA31" s="2">
        <v>44128</v>
      </c>
      <c r="AB31" s="2">
        <v>53</v>
      </c>
      <c r="AC31" s="11">
        <v>1</v>
      </c>
      <c r="AD31" s="11">
        <v>7.09</v>
      </c>
      <c r="AE31" s="11">
        <v>2.5099999999999998</v>
      </c>
      <c r="AF31" s="2" t="s">
        <v>86</v>
      </c>
      <c r="AG31" s="2">
        <v>0</v>
      </c>
      <c r="AH31" s="2"/>
      <c r="AI31" s="2">
        <v>43822</v>
      </c>
      <c r="AJ31" s="2">
        <v>125</v>
      </c>
      <c r="AK31" s="11">
        <v>1.1599999999999999</v>
      </c>
      <c r="AL31" s="11">
        <v>7.12</v>
      </c>
      <c r="AM31" s="11">
        <v>3.08</v>
      </c>
      <c r="AN31" s="2" t="s">
        <v>86</v>
      </c>
      <c r="AO31" s="2">
        <v>0</v>
      </c>
      <c r="AP31" s="2"/>
      <c r="AQ31" s="2"/>
      <c r="AR31" s="2"/>
      <c r="AS31" s="11"/>
      <c r="AT31" s="11"/>
      <c r="AU31" s="11"/>
      <c r="AV31" s="2"/>
      <c r="AW31" s="2"/>
      <c r="AX31" s="2"/>
      <c r="AY31" s="2"/>
      <c r="AZ31" s="12"/>
      <c r="BA31" s="11"/>
      <c r="BB31" s="11"/>
      <c r="BC31" s="11"/>
      <c r="BD31" s="2"/>
      <c r="BE31" s="2"/>
      <c r="BF31" s="2"/>
      <c r="BG31" s="2"/>
      <c r="BH31" s="2"/>
      <c r="BI31" s="11"/>
      <c r="BJ31" s="11"/>
      <c r="BK31" s="11"/>
      <c r="BL31" s="2"/>
      <c r="BM31" s="2"/>
      <c r="BN31" s="2"/>
      <c r="BO31" s="2"/>
      <c r="BP31" s="2"/>
      <c r="BQ31" s="11"/>
      <c r="BR31" s="11"/>
      <c r="BS31" s="11"/>
      <c r="BT31" s="2"/>
      <c r="BU31" s="2"/>
      <c r="BV31" s="2"/>
      <c r="BW31" s="2"/>
      <c r="BX31" s="2"/>
      <c r="BY31" s="11"/>
      <c r="BZ31" s="11"/>
      <c r="CA31" s="11"/>
      <c r="CB31" s="2"/>
      <c r="CC31" s="2"/>
      <c r="CD31" s="2"/>
      <c r="CE31" s="2"/>
      <c r="CF31" s="2"/>
      <c r="CG31" s="11"/>
      <c r="CH31" s="11"/>
      <c r="CI31" s="11"/>
      <c r="CJ31" s="2"/>
      <c r="CK31" s="2"/>
      <c r="CL31" s="2"/>
      <c r="CM31" s="2">
        <f t="shared" si="1"/>
        <v>64.150000000000006</v>
      </c>
      <c r="CN31" s="3">
        <f t="shared" si="2"/>
        <v>65.36</v>
      </c>
      <c r="CO31" s="2">
        <f t="shared" si="0"/>
        <v>19.605</v>
      </c>
      <c r="CP31" s="2"/>
    </row>
    <row r="32" spans="1:94" ht="15.75" customHeight="1">
      <c r="A32" s="1">
        <v>31</v>
      </c>
      <c r="B32" s="2">
        <v>20618</v>
      </c>
      <c r="C32" s="10">
        <v>45350</v>
      </c>
      <c r="D32" s="2">
        <v>3</v>
      </c>
      <c r="E32" s="2">
        <v>336</v>
      </c>
      <c r="F32" s="11">
        <v>1.1599999999999999</v>
      </c>
      <c r="G32" s="11">
        <v>7.11</v>
      </c>
      <c r="H32" s="11">
        <v>3.54</v>
      </c>
      <c r="I32" s="11">
        <v>20.22</v>
      </c>
      <c r="J32" s="2" t="s">
        <v>89</v>
      </c>
      <c r="K32" s="2">
        <v>43837</v>
      </c>
      <c r="L32" s="2">
        <v>134</v>
      </c>
      <c r="M32" s="11">
        <v>1.23</v>
      </c>
      <c r="N32" s="11">
        <v>6.95</v>
      </c>
      <c r="O32" s="11">
        <v>3.94</v>
      </c>
      <c r="P32" s="2" t="s">
        <v>84</v>
      </c>
      <c r="Q32" s="2">
        <v>0</v>
      </c>
      <c r="R32" s="2"/>
      <c r="S32" s="2">
        <v>44087</v>
      </c>
      <c r="T32" s="2">
        <v>81</v>
      </c>
      <c r="U32" s="11">
        <v>1.1499999999999999</v>
      </c>
      <c r="V32" s="11">
        <v>7.06</v>
      </c>
      <c r="W32" s="11">
        <v>3.72</v>
      </c>
      <c r="X32" s="2" t="s">
        <v>84</v>
      </c>
      <c r="Y32" s="2">
        <v>0</v>
      </c>
      <c r="Z32" s="2"/>
      <c r="AA32" s="2">
        <v>44210</v>
      </c>
      <c r="AB32" s="2">
        <v>121</v>
      </c>
      <c r="AC32" s="11">
        <v>1.05</v>
      </c>
      <c r="AD32" s="11">
        <v>7.25</v>
      </c>
      <c r="AE32" s="11">
        <v>2.99</v>
      </c>
      <c r="AF32" s="2" t="s">
        <v>84</v>
      </c>
      <c r="AG32" s="2">
        <v>0</v>
      </c>
      <c r="AH32" s="2"/>
      <c r="AI32" s="2"/>
      <c r="AJ32" s="2"/>
      <c r="AK32" s="11"/>
      <c r="AL32" s="11"/>
      <c r="AM32" s="11"/>
      <c r="AN32" s="2"/>
      <c r="AO32" s="2"/>
      <c r="AP32" s="2"/>
      <c r="AQ32" s="2"/>
      <c r="AR32" s="2"/>
      <c r="AS32" s="11"/>
      <c r="AT32" s="11"/>
      <c r="AU32" s="11"/>
      <c r="AV32" s="2"/>
      <c r="AW32" s="2"/>
      <c r="AX32" s="2"/>
      <c r="AY32" s="2"/>
      <c r="AZ32" s="12"/>
      <c r="BA32" s="11"/>
      <c r="BB32" s="11"/>
      <c r="BC32" s="11"/>
      <c r="BD32" s="2"/>
      <c r="BE32" s="2"/>
      <c r="BF32" s="2"/>
      <c r="BG32" s="2"/>
      <c r="BH32" s="2"/>
      <c r="BI32" s="11"/>
      <c r="BJ32" s="11"/>
      <c r="BK32" s="11"/>
      <c r="BL32" s="2"/>
      <c r="BM32" s="2"/>
      <c r="BN32" s="2"/>
      <c r="BO32" s="2"/>
      <c r="BP32" s="2"/>
      <c r="BQ32" s="11"/>
      <c r="BR32" s="11"/>
      <c r="BS32" s="11"/>
      <c r="BT32" s="2"/>
      <c r="BU32" s="2"/>
      <c r="BV32" s="2"/>
      <c r="BW32" s="2"/>
      <c r="BX32" s="2"/>
      <c r="BY32" s="11"/>
      <c r="BZ32" s="11"/>
      <c r="CA32" s="11"/>
      <c r="CB32" s="2"/>
      <c r="CC32" s="2"/>
      <c r="CD32" s="2"/>
      <c r="CE32" s="2"/>
      <c r="CF32" s="2"/>
      <c r="CG32" s="11"/>
      <c r="CH32" s="11"/>
      <c r="CI32" s="11"/>
      <c r="CJ32" s="2"/>
      <c r="CK32" s="2"/>
      <c r="CL32" s="2"/>
      <c r="CM32" s="2">
        <f t="shared" si="1"/>
        <v>64.94</v>
      </c>
      <c r="CN32" s="3">
        <f t="shared" si="2"/>
        <v>66.099999999999994</v>
      </c>
      <c r="CO32" s="2">
        <f t="shared" si="0"/>
        <v>19.95</v>
      </c>
      <c r="CP32" s="2"/>
    </row>
    <row r="33" spans="1:94" ht="15.75" customHeight="1">
      <c r="A33" s="1">
        <v>32</v>
      </c>
      <c r="B33" s="2">
        <v>20623</v>
      </c>
      <c r="C33" s="10">
        <v>45351</v>
      </c>
      <c r="D33" s="2">
        <v>5</v>
      </c>
      <c r="E33" s="2">
        <v>446</v>
      </c>
      <c r="F33" s="11">
        <v>1.1100000000000001</v>
      </c>
      <c r="G33" s="11">
        <v>7.17</v>
      </c>
      <c r="H33" s="11">
        <v>3.48</v>
      </c>
      <c r="I33" s="11">
        <v>20.03</v>
      </c>
      <c r="J33" s="2" t="s">
        <v>87</v>
      </c>
      <c r="K33" s="2">
        <v>44081</v>
      </c>
      <c r="L33" s="2">
        <v>56</v>
      </c>
      <c r="M33" s="11">
        <v>1.33</v>
      </c>
      <c r="N33" s="11">
        <v>6.74</v>
      </c>
      <c r="O33" s="11">
        <v>2.89</v>
      </c>
      <c r="P33" s="2" t="s">
        <v>86</v>
      </c>
      <c r="Q33" s="2">
        <v>0</v>
      </c>
      <c r="R33" s="2"/>
      <c r="S33" s="2">
        <v>44263</v>
      </c>
      <c r="T33" s="2">
        <v>140</v>
      </c>
      <c r="U33" s="11">
        <v>0.97</v>
      </c>
      <c r="V33" s="11">
        <v>7.24</v>
      </c>
      <c r="W33" s="11">
        <v>3.76</v>
      </c>
      <c r="X33" s="2" t="s">
        <v>86</v>
      </c>
      <c r="Y33" s="2">
        <v>0</v>
      </c>
      <c r="Z33" s="2"/>
      <c r="AA33" s="2">
        <v>44217</v>
      </c>
      <c r="AB33" s="2">
        <v>91</v>
      </c>
      <c r="AC33" s="11">
        <v>1.1000000000000001</v>
      </c>
      <c r="AD33" s="11">
        <v>7.13</v>
      </c>
      <c r="AE33" s="11">
        <v>3.26</v>
      </c>
      <c r="AF33" s="2" t="s">
        <v>86</v>
      </c>
      <c r="AG33" s="2">
        <v>0</v>
      </c>
      <c r="AH33" s="2"/>
      <c r="AI33" s="2">
        <v>44224</v>
      </c>
      <c r="AJ33" s="2">
        <v>65</v>
      </c>
      <c r="AK33" s="11">
        <v>1.1100000000000001</v>
      </c>
      <c r="AL33" s="11">
        <v>7.19</v>
      </c>
      <c r="AM33" s="11">
        <v>3.62</v>
      </c>
      <c r="AN33" s="2" t="s">
        <v>86</v>
      </c>
      <c r="AO33" s="2">
        <v>0</v>
      </c>
      <c r="AP33" s="2"/>
      <c r="AQ33" s="2">
        <v>43442</v>
      </c>
      <c r="AR33" s="2">
        <v>94</v>
      </c>
      <c r="AS33" s="11">
        <v>1.07</v>
      </c>
      <c r="AT33" s="11">
        <v>7.25</v>
      </c>
      <c r="AU33" s="11">
        <v>3.6</v>
      </c>
      <c r="AV33" s="2" t="s">
        <v>86</v>
      </c>
      <c r="AW33" s="2">
        <v>0</v>
      </c>
      <c r="AX33" s="2"/>
      <c r="AY33" s="2"/>
      <c r="AZ33" s="12"/>
      <c r="BA33" s="11"/>
      <c r="BB33" s="11"/>
      <c r="BC33" s="11"/>
      <c r="BD33" s="2"/>
      <c r="BE33" s="2"/>
      <c r="BF33" s="2"/>
      <c r="BG33" s="2"/>
      <c r="BH33" s="2"/>
      <c r="BI33" s="11"/>
      <c r="BJ33" s="11"/>
      <c r="BK33" s="11"/>
      <c r="BL33" s="2"/>
      <c r="BM33" s="2"/>
      <c r="BN33" s="2"/>
      <c r="BO33" s="2"/>
      <c r="BP33" s="2"/>
      <c r="BQ33" s="11"/>
      <c r="BR33" s="11"/>
      <c r="BS33" s="11"/>
      <c r="BT33" s="2"/>
      <c r="BU33" s="2"/>
      <c r="BV33" s="2"/>
      <c r="BW33" s="2"/>
      <c r="BX33" s="2"/>
      <c r="BY33" s="11"/>
      <c r="BZ33" s="11"/>
      <c r="CA33" s="11"/>
      <c r="CB33" s="2"/>
      <c r="CC33" s="2"/>
      <c r="CD33" s="2"/>
      <c r="CE33" s="2"/>
      <c r="CF33" s="2"/>
      <c r="CG33" s="11"/>
      <c r="CH33" s="11"/>
      <c r="CI33" s="11"/>
      <c r="CJ33" s="2"/>
      <c r="CK33" s="2"/>
      <c r="CL33" s="2"/>
      <c r="CM33" s="2">
        <f t="shared" si="1"/>
        <v>64.44</v>
      </c>
      <c r="CN33" s="3">
        <f t="shared" si="2"/>
        <v>65.55</v>
      </c>
      <c r="CO33" s="2">
        <f t="shared" si="0"/>
        <v>19.727999999999998</v>
      </c>
      <c r="CP33" s="2"/>
    </row>
    <row r="34" spans="1:94" ht="15.75" customHeight="1">
      <c r="A34" s="1">
        <v>33</v>
      </c>
      <c r="B34" s="2">
        <v>20627</v>
      </c>
      <c r="C34" s="10">
        <v>45351</v>
      </c>
      <c r="D34" s="2">
        <v>5</v>
      </c>
      <c r="E34" s="2">
        <v>561</v>
      </c>
      <c r="F34" s="11">
        <v>1.08</v>
      </c>
      <c r="G34" s="11">
        <v>7.11</v>
      </c>
      <c r="H34" s="11">
        <v>3.47</v>
      </c>
      <c r="I34" s="11">
        <v>19.89</v>
      </c>
      <c r="J34" s="2" t="s">
        <v>83</v>
      </c>
      <c r="K34" s="2">
        <v>43580</v>
      </c>
      <c r="L34" s="2">
        <v>79</v>
      </c>
      <c r="M34" s="11">
        <v>1.21</v>
      </c>
      <c r="N34" s="11">
        <v>7</v>
      </c>
      <c r="O34" s="11">
        <v>5.1100000000000003</v>
      </c>
      <c r="P34" s="2" t="s">
        <v>84</v>
      </c>
      <c r="Q34" s="2">
        <v>0</v>
      </c>
      <c r="R34" s="2"/>
      <c r="S34" s="2">
        <v>44085</v>
      </c>
      <c r="T34" s="2">
        <v>103</v>
      </c>
      <c r="U34" s="11">
        <v>1.02</v>
      </c>
      <c r="V34" s="11">
        <v>7.15</v>
      </c>
      <c r="W34" s="11">
        <v>3.33</v>
      </c>
      <c r="X34" s="2" t="s">
        <v>84</v>
      </c>
      <c r="Y34" s="2">
        <v>0</v>
      </c>
      <c r="Z34" s="2"/>
      <c r="AA34" s="2">
        <v>42897</v>
      </c>
      <c r="AB34" s="2">
        <v>115</v>
      </c>
      <c r="AC34" s="11">
        <v>1.03</v>
      </c>
      <c r="AD34" s="11">
        <v>7.19</v>
      </c>
      <c r="AE34" s="11">
        <v>3.23</v>
      </c>
      <c r="AF34" s="2" t="s">
        <v>84</v>
      </c>
      <c r="AG34" s="2">
        <v>0</v>
      </c>
      <c r="AH34" s="2"/>
      <c r="AI34" s="2">
        <v>44313</v>
      </c>
      <c r="AJ34" s="2">
        <v>112</v>
      </c>
      <c r="AK34" s="11">
        <v>1.05</v>
      </c>
      <c r="AL34" s="11">
        <v>7</v>
      </c>
      <c r="AM34" s="11">
        <v>3.07</v>
      </c>
      <c r="AN34" s="2" t="s">
        <v>84</v>
      </c>
      <c r="AO34" s="2">
        <v>0</v>
      </c>
      <c r="AP34" s="2"/>
      <c r="AQ34" s="2">
        <v>43217</v>
      </c>
      <c r="AR34" s="2">
        <v>152</v>
      </c>
      <c r="AS34" s="11">
        <v>1.08</v>
      </c>
      <c r="AT34" s="11">
        <v>6.95</v>
      </c>
      <c r="AU34" s="11">
        <v>3.39</v>
      </c>
      <c r="AV34" s="2" t="s">
        <v>84</v>
      </c>
      <c r="AW34" s="2">
        <v>0</v>
      </c>
      <c r="AX34" s="2"/>
      <c r="AY34" s="2"/>
      <c r="AZ34" s="12"/>
      <c r="BA34" s="11"/>
      <c r="BB34" s="11"/>
      <c r="BC34" s="11"/>
      <c r="BD34" s="2"/>
      <c r="BE34" s="2"/>
      <c r="BF34" s="2"/>
      <c r="BG34" s="2"/>
      <c r="BH34" s="2"/>
      <c r="BI34" s="11"/>
      <c r="BJ34" s="11"/>
      <c r="BK34" s="11"/>
      <c r="BL34" s="2"/>
      <c r="BM34" s="2"/>
      <c r="BN34" s="2"/>
      <c r="BO34" s="2"/>
      <c r="BP34" s="2"/>
      <c r="BQ34" s="11"/>
      <c r="BR34" s="11"/>
      <c r="BS34" s="11"/>
      <c r="BT34" s="2"/>
      <c r="BU34" s="2"/>
      <c r="BV34" s="2"/>
      <c r="BW34" s="2"/>
      <c r="BX34" s="2"/>
      <c r="BY34" s="11"/>
      <c r="BZ34" s="11"/>
      <c r="CA34" s="11"/>
      <c r="CB34" s="2"/>
      <c r="CC34" s="2"/>
      <c r="CD34" s="2"/>
      <c r="CE34" s="2"/>
      <c r="CF34" s="2"/>
      <c r="CG34" s="11"/>
      <c r="CH34" s="11"/>
      <c r="CI34" s="11"/>
      <c r="CJ34" s="2"/>
      <c r="CK34" s="2"/>
      <c r="CL34" s="2"/>
      <c r="CM34" s="2">
        <f t="shared" si="1"/>
        <v>63.990000000000009</v>
      </c>
      <c r="CN34" s="3">
        <f t="shared" si="2"/>
        <v>65.070000000000007</v>
      </c>
      <c r="CO34" s="2">
        <f t="shared" si="0"/>
        <v>19.664999999999999</v>
      </c>
      <c r="CP34" s="2"/>
    </row>
    <row r="35" spans="1:94" ht="15.75" customHeight="1">
      <c r="A35" s="1">
        <v>34</v>
      </c>
      <c r="B35" s="2">
        <v>20628</v>
      </c>
      <c r="C35" s="10">
        <v>45351</v>
      </c>
      <c r="D35" s="2">
        <v>4</v>
      </c>
      <c r="E35" s="2">
        <v>459</v>
      </c>
      <c r="F35" s="11">
        <v>1.1000000000000001</v>
      </c>
      <c r="G35" s="11">
        <v>7.11</v>
      </c>
      <c r="H35" s="11">
        <v>3.43</v>
      </c>
      <c r="I35" s="11">
        <v>19.809999999999999</v>
      </c>
      <c r="J35" s="2" t="s">
        <v>83</v>
      </c>
      <c r="K35" s="2">
        <v>43371</v>
      </c>
      <c r="L35" s="2">
        <v>49</v>
      </c>
      <c r="M35" s="11">
        <v>1.19</v>
      </c>
      <c r="N35" s="11">
        <v>7.09</v>
      </c>
      <c r="O35" s="11">
        <v>3.8</v>
      </c>
      <c r="P35" s="2" t="s">
        <v>84</v>
      </c>
      <c r="Q35" s="2">
        <v>0</v>
      </c>
      <c r="R35" s="2"/>
      <c r="S35" s="2">
        <v>43519</v>
      </c>
      <c r="T35" s="2">
        <v>147</v>
      </c>
      <c r="U35" s="11">
        <v>0.96</v>
      </c>
      <c r="V35" s="11">
        <v>7.23</v>
      </c>
      <c r="W35" s="11">
        <v>3.26</v>
      </c>
      <c r="X35" s="2" t="s">
        <v>84</v>
      </c>
      <c r="Y35" s="2">
        <v>0</v>
      </c>
      <c r="Z35" s="2"/>
      <c r="AA35" s="2">
        <v>44085</v>
      </c>
      <c r="AB35" s="2">
        <v>128</v>
      </c>
      <c r="AC35" s="11">
        <v>1.03</v>
      </c>
      <c r="AD35" s="11">
        <v>7.02</v>
      </c>
      <c r="AE35" s="11">
        <v>3.1</v>
      </c>
      <c r="AF35" s="2" t="s">
        <v>84</v>
      </c>
      <c r="AG35" s="2">
        <v>0</v>
      </c>
      <c r="AH35" s="2"/>
      <c r="AI35" s="2">
        <v>43837</v>
      </c>
      <c r="AJ35" s="2">
        <v>135</v>
      </c>
      <c r="AK35" s="11">
        <v>1.17</v>
      </c>
      <c r="AL35" s="11">
        <v>7</v>
      </c>
      <c r="AM35" s="11">
        <v>3.74</v>
      </c>
      <c r="AN35" s="2" t="s">
        <v>84</v>
      </c>
      <c r="AO35" s="2">
        <v>0</v>
      </c>
      <c r="AP35" s="2"/>
      <c r="AQ35" s="2"/>
      <c r="AR35" s="2"/>
      <c r="AS35" s="11"/>
      <c r="AT35" s="11"/>
      <c r="AU35" s="11"/>
      <c r="AV35" s="2"/>
      <c r="AW35" s="2"/>
      <c r="AX35" s="2"/>
      <c r="AY35" s="2"/>
      <c r="AZ35" s="12"/>
      <c r="BA35" s="11"/>
      <c r="BB35" s="11"/>
      <c r="BC35" s="11"/>
      <c r="BD35" s="2"/>
      <c r="BE35" s="2"/>
      <c r="BF35" s="2"/>
      <c r="BG35" s="2"/>
      <c r="BH35" s="2"/>
      <c r="BI35" s="11"/>
      <c r="BJ35" s="11"/>
      <c r="BK35" s="11"/>
      <c r="BL35" s="2"/>
      <c r="BM35" s="2"/>
      <c r="BN35" s="2"/>
      <c r="BO35" s="2"/>
      <c r="BP35" s="2"/>
      <c r="BQ35" s="11"/>
      <c r="BR35" s="11"/>
      <c r="BS35" s="11"/>
      <c r="BT35" s="2"/>
      <c r="BU35" s="2"/>
      <c r="BV35" s="2"/>
      <c r="BW35" s="2"/>
      <c r="BX35" s="2"/>
      <c r="BY35" s="11"/>
      <c r="BZ35" s="11"/>
      <c r="CA35" s="11"/>
      <c r="CB35" s="2"/>
      <c r="CC35" s="2"/>
      <c r="CD35" s="2"/>
      <c r="CE35" s="2"/>
      <c r="CF35" s="2"/>
      <c r="CG35" s="11"/>
      <c r="CH35" s="11"/>
      <c r="CI35" s="11"/>
      <c r="CJ35" s="2"/>
      <c r="CK35" s="2"/>
      <c r="CL35" s="2"/>
      <c r="CM35" s="2">
        <f t="shared" si="1"/>
        <v>63.710000000000008</v>
      </c>
      <c r="CN35" s="3">
        <f t="shared" si="2"/>
        <v>64.81</v>
      </c>
      <c r="CO35" s="2">
        <f t="shared" si="0"/>
        <v>19.581</v>
      </c>
      <c r="CP35" s="2"/>
    </row>
    <row r="36" spans="1:94" ht="15.75" customHeight="1">
      <c r="A36" s="1">
        <v>35</v>
      </c>
      <c r="B36" s="2">
        <v>20629</v>
      </c>
      <c r="C36" s="10">
        <v>45351</v>
      </c>
      <c r="D36" s="2">
        <v>4</v>
      </c>
      <c r="E36" s="2">
        <v>410</v>
      </c>
      <c r="F36" s="11">
        <v>1.07</v>
      </c>
      <c r="G36" s="11">
        <v>7.13</v>
      </c>
      <c r="H36" s="11">
        <v>3.65</v>
      </c>
      <c r="I36" s="11">
        <v>20.39</v>
      </c>
      <c r="J36" s="2" t="s">
        <v>83</v>
      </c>
      <c r="K36" s="2">
        <v>43883</v>
      </c>
      <c r="L36" s="2">
        <v>105</v>
      </c>
      <c r="M36" s="11">
        <v>1.1200000000000001</v>
      </c>
      <c r="N36" s="11">
        <v>7.12</v>
      </c>
      <c r="O36" s="11">
        <v>4.3</v>
      </c>
      <c r="P36" s="2" t="s">
        <v>84</v>
      </c>
      <c r="Q36" s="2">
        <v>0</v>
      </c>
      <c r="R36" s="2"/>
      <c r="S36" s="2">
        <v>43251</v>
      </c>
      <c r="T36" s="2">
        <v>92</v>
      </c>
      <c r="U36" s="11">
        <v>1.03</v>
      </c>
      <c r="V36" s="11">
        <v>7.09</v>
      </c>
      <c r="W36" s="11">
        <v>3.26</v>
      </c>
      <c r="X36" s="2" t="s">
        <v>84</v>
      </c>
      <c r="Y36" s="2">
        <v>0</v>
      </c>
      <c r="Z36" s="2"/>
      <c r="AA36" s="2">
        <v>44210</v>
      </c>
      <c r="AB36" s="2">
        <v>122</v>
      </c>
      <c r="AC36" s="11">
        <v>1.01</v>
      </c>
      <c r="AD36" s="11">
        <v>7.17</v>
      </c>
      <c r="AE36" s="11">
        <v>2.8</v>
      </c>
      <c r="AF36" s="2" t="s">
        <v>84</v>
      </c>
      <c r="AG36" s="2">
        <v>0</v>
      </c>
      <c r="AH36" s="2"/>
      <c r="AI36" s="2">
        <v>43990</v>
      </c>
      <c r="AJ36" s="2">
        <v>92</v>
      </c>
      <c r="AK36" s="11">
        <v>1.08</v>
      </c>
      <c r="AL36" s="11">
        <v>7</v>
      </c>
      <c r="AM36" s="11">
        <v>4.3899999999999997</v>
      </c>
      <c r="AN36" s="2" t="s">
        <v>84</v>
      </c>
      <c r="AO36" s="2">
        <v>0</v>
      </c>
      <c r="AP36" s="2"/>
      <c r="AQ36" s="2"/>
      <c r="AR36" s="2"/>
      <c r="AS36" s="11"/>
      <c r="AT36" s="11"/>
      <c r="AU36" s="11"/>
      <c r="AV36" s="2"/>
      <c r="AW36" s="2"/>
      <c r="AX36" s="2"/>
      <c r="AY36" s="2"/>
      <c r="AZ36" s="12"/>
      <c r="BA36" s="11"/>
      <c r="BB36" s="11"/>
      <c r="BC36" s="11"/>
      <c r="BD36" s="2"/>
      <c r="BE36" s="2"/>
      <c r="BF36" s="2"/>
      <c r="BG36" s="2"/>
      <c r="BH36" s="2"/>
      <c r="BI36" s="11"/>
      <c r="BJ36" s="11"/>
      <c r="BK36" s="11"/>
      <c r="BL36" s="2"/>
      <c r="BM36" s="2"/>
      <c r="BN36" s="2"/>
      <c r="BO36" s="2"/>
      <c r="BP36" s="2"/>
      <c r="BQ36" s="11"/>
      <c r="BR36" s="11"/>
      <c r="BS36" s="11"/>
      <c r="BT36" s="2"/>
      <c r="BU36" s="2"/>
      <c r="BV36" s="2"/>
      <c r="BW36" s="2"/>
      <c r="BX36" s="2"/>
      <c r="BY36" s="11"/>
      <c r="BZ36" s="11"/>
      <c r="CA36" s="11"/>
      <c r="CB36" s="2"/>
      <c r="CC36" s="2"/>
      <c r="CD36" s="2"/>
      <c r="CE36" s="2"/>
      <c r="CF36" s="2"/>
      <c r="CG36" s="11"/>
      <c r="CH36" s="11"/>
      <c r="CI36" s="11"/>
      <c r="CJ36" s="2"/>
      <c r="CK36" s="2"/>
      <c r="CL36" s="2"/>
      <c r="CM36" s="2">
        <f t="shared" si="1"/>
        <v>65.650000000000006</v>
      </c>
      <c r="CN36" s="3">
        <f t="shared" si="2"/>
        <v>66.72</v>
      </c>
      <c r="CO36" s="2">
        <f t="shared" si="0"/>
        <v>20.138999999999999</v>
      </c>
      <c r="CP36" s="2"/>
    </row>
    <row r="37" spans="1:94" ht="15.75" customHeight="1">
      <c r="A37" s="1">
        <v>36</v>
      </c>
      <c r="B37" s="2">
        <v>20635</v>
      </c>
      <c r="C37" s="10">
        <v>45352</v>
      </c>
      <c r="D37" s="2">
        <v>6</v>
      </c>
      <c r="E37" s="2">
        <v>529</v>
      </c>
      <c r="F37" s="11">
        <v>1.17</v>
      </c>
      <c r="G37" s="11">
        <v>7.17</v>
      </c>
      <c r="H37" s="11">
        <v>3.34</v>
      </c>
      <c r="I37" s="11">
        <v>19.75</v>
      </c>
      <c r="J37" s="2" t="s">
        <v>85</v>
      </c>
      <c r="K37" s="2">
        <v>44111</v>
      </c>
      <c r="L37" s="2">
        <v>125</v>
      </c>
      <c r="M37" s="11">
        <v>1.29</v>
      </c>
      <c r="N37" s="11">
        <v>6.8</v>
      </c>
      <c r="O37" s="11">
        <v>3.13</v>
      </c>
      <c r="P37" s="2" t="s">
        <v>86</v>
      </c>
      <c r="Q37" s="2">
        <v>0</v>
      </c>
      <c r="R37" s="2"/>
      <c r="S37" s="2">
        <v>44308</v>
      </c>
      <c r="T37" s="2">
        <v>136</v>
      </c>
      <c r="U37" s="11">
        <v>1.1000000000000001</v>
      </c>
      <c r="V37" s="11">
        <v>7.25</v>
      </c>
      <c r="W37" s="11">
        <v>3.82</v>
      </c>
      <c r="X37" s="2" t="s">
        <v>86</v>
      </c>
      <c r="Y37" s="2">
        <v>0</v>
      </c>
      <c r="Z37" s="2"/>
      <c r="AA37" s="2">
        <v>44091</v>
      </c>
      <c r="AB37" s="2">
        <v>30</v>
      </c>
      <c r="AC37" s="11">
        <v>1.0900000000000001</v>
      </c>
      <c r="AD37" s="11">
        <v>7.37</v>
      </c>
      <c r="AE37" s="11">
        <v>2.38</v>
      </c>
      <c r="AF37" s="2" t="s">
        <v>86</v>
      </c>
      <c r="AG37" s="2">
        <v>0</v>
      </c>
      <c r="AH37" s="2"/>
      <c r="AI37" s="2">
        <v>44217</v>
      </c>
      <c r="AJ37" s="2">
        <v>57</v>
      </c>
      <c r="AK37" s="11">
        <v>1.18</v>
      </c>
      <c r="AL37" s="11">
        <v>7.17</v>
      </c>
      <c r="AM37" s="11">
        <v>3.75</v>
      </c>
      <c r="AN37" s="2" t="s">
        <v>86</v>
      </c>
      <c r="AO37" s="2">
        <v>0</v>
      </c>
      <c r="AP37" s="2"/>
      <c r="AQ37" s="2">
        <v>44227</v>
      </c>
      <c r="AR37" s="2">
        <v>110</v>
      </c>
      <c r="AS37" s="11">
        <v>0.92</v>
      </c>
      <c r="AT37" s="11">
        <v>7.15</v>
      </c>
      <c r="AU37" s="11">
        <v>2.93</v>
      </c>
      <c r="AV37" s="2" t="s">
        <v>86</v>
      </c>
      <c r="AW37" s="2">
        <v>0</v>
      </c>
      <c r="AX37" s="2"/>
      <c r="AY37" s="2">
        <v>44263</v>
      </c>
      <c r="AZ37" s="12">
        <v>71</v>
      </c>
      <c r="BA37" s="11">
        <v>1.03</v>
      </c>
      <c r="BB37" s="11">
        <v>7.27</v>
      </c>
      <c r="BC37" s="11">
        <v>3.91</v>
      </c>
      <c r="BD37" s="2" t="s">
        <v>86</v>
      </c>
      <c r="BE37" s="2">
        <v>0</v>
      </c>
      <c r="BF37" s="2"/>
      <c r="BG37" s="2"/>
      <c r="BH37" s="2"/>
      <c r="BI37" s="11"/>
      <c r="BJ37" s="11"/>
      <c r="BK37" s="11"/>
      <c r="BL37" s="2"/>
      <c r="BM37" s="2"/>
      <c r="BN37" s="2"/>
      <c r="BO37" s="2"/>
      <c r="BP37" s="2"/>
      <c r="BQ37" s="11"/>
      <c r="BR37" s="11"/>
      <c r="BS37" s="11"/>
      <c r="BT37" s="2"/>
      <c r="BU37" s="2"/>
      <c r="BV37" s="2"/>
      <c r="BW37" s="2"/>
      <c r="BX37" s="2"/>
      <c r="BY37" s="11"/>
      <c r="BZ37" s="11"/>
      <c r="CA37" s="11"/>
      <c r="CB37" s="2"/>
      <c r="CC37" s="2"/>
      <c r="CD37" s="2"/>
      <c r="CE37" s="2"/>
      <c r="CF37" s="2"/>
      <c r="CG37" s="11"/>
      <c r="CH37" s="11"/>
      <c r="CI37" s="11"/>
      <c r="CJ37" s="2"/>
      <c r="CK37" s="2"/>
      <c r="CL37" s="2"/>
      <c r="CM37" s="2">
        <f t="shared" si="1"/>
        <v>63.42</v>
      </c>
      <c r="CN37" s="3">
        <f t="shared" si="2"/>
        <v>64.59</v>
      </c>
      <c r="CO37" s="2">
        <f t="shared" si="0"/>
        <v>19.421999999999997</v>
      </c>
      <c r="CP37" s="2"/>
    </row>
    <row r="38" spans="1:94" ht="15.75" customHeight="1">
      <c r="A38" s="1">
        <v>37</v>
      </c>
      <c r="B38" s="2">
        <v>20636</v>
      </c>
      <c r="C38" s="10">
        <v>45352</v>
      </c>
      <c r="D38" s="2">
        <v>4</v>
      </c>
      <c r="E38" s="2">
        <v>468</v>
      </c>
      <c r="F38" s="11">
        <v>1.0900000000000001</v>
      </c>
      <c r="G38" s="11">
        <v>7.23</v>
      </c>
      <c r="H38" s="11">
        <v>3.37</v>
      </c>
      <c r="I38" s="11">
        <v>19.77</v>
      </c>
      <c r="J38" s="2" t="s">
        <v>83</v>
      </c>
      <c r="K38" s="2">
        <v>43658</v>
      </c>
      <c r="L38" s="2">
        <v>118</v>
      </c>
      <c r="M38" s="11">
        <v>1.1100000000000001</v>
      </c>
      <c r="N38" s="11">
        <v>7.18</v>
      </c>
      <c r="O38" s="11">
        <v>3.16</v>
      </c>
      <c r="P38" s="2" t="s">
        <v>84</v>
      </c>
      <c r="Q38" s="2">
        <v>0</v>
      </c>
      <c r="R38" s="2"/>
      <c r="S38" s="2">
        <v>43883</v>
      </c>
      <c r="T38" s="2">
        <v>110</v>
      </c>
      <c r="U38" s="11">
        <v>1.0900000000000001</v>
      </c>
      <c r="V38" s="11">
        <v>7.16</v>
      </c>
      <c r="W38" s="11">
        <v>3.92</v>
      </c>
      <c r="X38" s="2" t="s">
        <v>84</v>
      </c>
      <c r="Y38" s="2">
        <v>0</v>
      </c>
      <c r="Z38" s="2"/>
      <c r="AA38" s="2">
        <v>43442</v>
      </c>
      <c r="AB38" s="2">
        <v>102</v>
      </c>
      <c r="AC38" s="11">
        <v>1.01</v>
      </c>
      <c r="AD38" s="11">
        <v>7.24</v>
      </c>
      <c r="AE38" s="11">
        <v>3.7</v>
      </c>
      <c r="AF38" s="2" t="s">
        <v>84</v>
      </c>
      <c r="AG38" s="2">
        <v>0</v>
      </c>
      <c r="AH38" s="2"/>
      <c r="AI38" s="2">
        <v>43251</v>
      </c>
      <c r="AJ38" s="2">
        <v>138</v>
      </c>
      <c r="AK38" s="11">
        <v>1.06</v>
      </c>
      <c r="AL38" s="11">
        <v>7.07</v>
      </c>
      <c r="AM38" s="11">
        <v>3.21</v>
      </c>
      <c r="AN38" s="2" t="s">
        <v>84</v>
      </c>
      <c r="AO38" s="2">
        <v>0</v>
      </c>
      <c r="AP38" s="2"/>
      <c r="AQ38" s="2"/>
      <c r="AR38" s="2"/>
      <c r="AS38" s="11"/>
      <c r="AT38" s="11"/>
      <c r="AU38" s="11"/>
      <c r="AV38" s="2"/>
      <c r="AW38" s="2"/>
      <c r="AX38" s="2"/>
      <c r="AY38" s="2"/>
      <c r="AZ38" s="12"/>
      <c r="BA38" s="11"/>
      <c r="BB38" s="11"/>
      <c r="BC38" s="11"/>
      <c r="BD38" s="2"/>
      <c r="BE38" s="2"/>
      <c r="BF38" s="2"/>
      <c r="BG38" s="2"/>
      <c r="BH38" s="2"/>
      <c r="BI38" s="11"/>
      <c r="BJ38" s="11"/>
      <c r="BK38" s="11"/>
      <c r="BL38" s="2"/>
      <c r="BM38" s="2"/>
      <c r="BN38" s="2"/>
      <c r="BO38" s="2"/>
      <c r="BP38" s="2"/>
      <c r="BQ38" s="11"/>
      <c r="BR38" s="11"/>
      <c r="BS38" s="11"/>
      <c r="BT38" s="2"/>
      <c r="BU38" s="2"/>
      <c r="BV38" s="2"/>
      <c r="BW38" s="2"/>
      <c r="BX38" s="2"/>
      <c r="BY38" s="11"/>
      <c r="BZ38" s="11"/>
      <c r="CA38" s="11"/>
      <c r="CB38" s="2"/>
      <c r="CC38" s="2"/>
      <c r="CD38" s="2"/>
      <c r="CE38" s="2"/>
      <c r="CF38" s="2"/>
      <c r="CG38" s="11"/>
      <c r="CH38" s="11"/>
      <c r="CI38" s="11"/>
      <c r="CJ38" s="2"/>
      <c r="CK38" s="2"/>
      <c r="CL38" s="2"/>
      <c r="CM38" s="2">
        <f t="shared" si="1"/>
        <v>63.61</v>
      </c>
      <c r="CN38" s="3">
        <f t="shared" si="2"/>
        <v>64.7</v>
      </c>
      <c r="CO38" s="2">
        <f t="shared" si="0"/>
        <v>19.407</v>
      </c>
      <c r="CP38" s="2"/>
    </row>
    <row r="39" spans="1:94" ht="15.75" customHeight="1">
      <c r="A39" s="18">
        <v>38</v>
      </c>
      <c r="B39" s="2">
        <v>20643</v>
      </c>
      <c r="C39" s="10">
        <v>45356</v>
      </c>
      <c r="D39" s="19">
        <v>4</v>
      </c>
      <c r="E39" s="19">
        <v>436</v>
      </c>
      <c r="F39" s="20">
        <v>1.1299999999999999</v>
      </c>
      <c r="G39" s="20">
        <v>7.08</v>
      </c>
      <c r="H39" s="20">
        <v>3.34</v>
      </c>
      <c r="I39" s="20">
        <v>19.57</v>
      </c>
      <c r="J39" s="19" t="s">
        <v>87</v>
      </c>
      <c r="K39" s="19">
        <v>44093</v>
      </c>
      <c r="L39" s="19">
        <v>148</v>
      </c>
      <c r="M39" s="20">
        <v>1.42</v>
      </c>
      <c r="N39" s="20">
        <v>7.08</v>
      </c>
      <c r="O39" s="20">
        <v>3.63</v>
      </c>
      <c r="P39" s="19" t="s">
        <v>86</v>
      </c>
      <c r="Q39" s="19">
        <v>0</v>
      </c>
      <c r="R39" s="19"/>
      <c r="S39" s="19">
        <v>44003</v>
      </c>
      <c r="T39" s="19">
        <v>97</v>
      </c>
      <c r="U39" s="20">
        <v>0.9</v>
      </c>
      <c r="V39" s="20">
        <v>6.83</v>
      </c>
      <c r="W39" s="20">
        <v>3.62</v>
      </c>
      <c r="X39" s="19" t="s">
        <v>86</v>
      </c>
      <c r="Y39" s="19">
        <v>0</v>
      </c>
      <c r="Z39" s="19"/>
      <c r="AA39" s="19">
        <v>43952</v>
      </c>
      <c r="AB39" s="19">
        <v>59</v>
      </c>
      <c r="AC39" s="20">
        <v>0.96</v>
      </c>
      <c r="AD39" s="20">
        <v>7.28</v>
      </c>
      <c r="AE39" s="20">
        <v>2.89</v>
      </c>
      <c r="AF39" s="19" t="s">
        <v>86</v>
      </c>
      <c r="AG39" s="19">
        <v>0</v>
      </c>
      <c r="AH39" s="19"/>
      <c r="AI39" s="19">
        <v>43949</v>
      </c>
      <c r="AJ39" s="19">
        <v>133</v>
      </c>
      <c r="AK39" s="20">
        <v>1.01</v>
      </c>
      <c r="AL39" s="20">
        <v>7.19</v>
      </c>
      <c r="AM39" s="20">
        <v>3.25</v>
      </c>
      <c r="AN39" s="19" t="s">
        <v>86</v>
      </c>
      <c r="AO39" s="19">
        <v>0</v>
      </c>
      <c r="AP39" s="19"/>
      <c r="AQ39" s="19"/>
      <c r="AR39" s="19"/>
      <c r="AS39" s="20"/>
      <c r="AT39" s="20"/>
      <c r="AU39" s="20"/>
      <c r="AV39" s="19"/>
      <c r="AW39" s="19"/>
      <c r="AX39" s="19"/>
      <c r="AY39" s="19"/>
      <c r="AZ39" s="21"/>
      <c r="BA39" s="20"/>
      <c r="BB39" s="20"/>
      <c r="BC39" s="20"/>
      <c r="BD39" s="19"/>
      <c r="BE39" s="19"/>
      <c r="BF39" s="19"/>
      <c r="BG39" s="19"/>
      <c r="BH39" s="19"/>
      <c r="BI39" s="20"/>
      <c r="BJ39" s="20"/>
      <c r="BK39" s="20"/>
      <c r="BL39" s="19"/>
      <c r="BM39" s="19"/>
      <c r="BN39" s="19"/>
      <c r="BO39" s="19"/>
      <c r="BP39" s="19"/>
      <c r="BQ39" s="20"/>
      <c r="BR39" s="20"/>
      <c r="BS39" s="20"/>
      <c r="BT39" s="19"/>
      <c r="BU39" s="19"/>
      <c r="BV39" s="19"/>
      <c r="BW39" s="19"/>
      <c r="BX39" s="19"/>
      <c r="BY39" s="20"/>
      <c r="BZ39" s="20"/>
      <c r="CA39" s="20"/>
      <c r="CB39" s="19"/>
      <c r="CC39" s="19"/>
      <c r="CD39" s="19"/>
      <c r="CE39" s="19"/>
      <c r="CF39" s="19"/>
      <c r="CG39" s="20"/>
      <c r="CH39" s="20"/>
      <c r="CI39" s="20"/>
      <c r="CJ39" s="19"/>
      <c r="CK39" s="19"/>
      <c r="CL39" s="19"/>
      <c r="CM39" s="19">
        <f t="shared" si="1"/>
        <v>62.900000000000006</v>
      </c>
      <c r="CN39" s="22">
        <f t="shared" si="2"/>
        <v>64.03</v>
      </c>
      <c r="CO39" s="19">
        <f t="shared" si="0"/>
        <v>19.373999999999999</v>
      </c>
      <c r="CP39" s="19"/>
    </row>
    <row r="40" spans="1:94" ht="15.75" customHeight="1">
      <c r="A40" s="1">
        <v>39</v>
      </c>
      <c r="B40" s="2">
        <v>20644</v>
      </c>
      <c r="C40" s="10">
        <v>45356</v>
      </c>
      <c r="D40" s="2">
        <v>4</v>
      </c>
      <c r="E40" s="2">
        <v>483</v>
      </c>
      <c r="F40" s="11">
        <v>1.18</v>
      </c>
      <c r="G40" s="11">
        <v>7.19</v>
      </c>
      <c r="H40" s="11">
        <v>3.44</v>
      </c>
      <c r="I40" s="11">
        <v>20.07</v>
      </c>
      <c r="J40" s="2" t="s">
        <v>87</v>
      </c>
      <c r="K40" s="2">
        <v>44056</v>
      </c>
      <c r="L40" s="2">
        <v>139</v>
      </c>
      <c r="M40" s="11">
        <v>1.2</v>
      </c>
      <c r="N40" s="11">
        <v>7.25</v>
      </c>
      <c r="O40" s="11">
        <v>3.38</v>
      </c>
      <c r="P40" s="2" t="s">
        <v>86</v>
      </c>
      <c r="Q40" s="2">
        <v>0</v>
      </c>
      <c r="R40" s="2"/>
      <c r="S40" s="2">
        <v>44307</v>
      </c>
      <c r="T40" s="2">
        <v>143</v>
      </c>
      <c r="U40" s="11">
        <v>1.07</v>
      </c>
      <c r="V40" s="11">
        <v>7.13</v>
      </c>
      <c r="W40" s="11">
        <v>3.37</v>
      </c>
      <c r="X40" s="2" t="s">
        <v>86</v>
      </c>
      <c r="Y40" s="2">
        <v>0</v>
      </c>
      <c r="Z40" s="2"/>
      <c r="AA40" s="2">
        <v>44305</v>
      </c>
      <c r="AB40" s="2">
        <v>142</v>
      </c>
      <c r="AC40" s="11">
        <v>1.18</v>
      </c>
      <c r="AD40" s="11">
        <v>6.96</v>
      </c>
      <c r="AE40" s="11">
        <v>3.77</v>
      </c>
      <c r="AF40" s="2" t="s">
        <v>86</v>
      </c>
      <c r="AG40" s="2">
        <v>0</v>
      </c>
      <c r="AH40" s="2"/>
      <c r="AI40" s="2">
        <v>44294</v>
      </c>
      <c r="AJ40" s="2">
        <v>59</v>
      </c>
      <c r="AK40" s="11">
        <v>1.2</v>
      </c>
      <c r="AL40" s="11">
        <v>7.41</v>
      </c>
      <c r="AM40" s="11">
        <v>3.5</v>
      </c>
      <c r="AN40" s="2" t="s">
        <v>86</v>
      </c>
      <c r="AO40" s="2">
        <v>0</v>
      </c>
      <c r="AP40" s="2"/>
      <c r="AQ40" s="2"/>
      <c r="AR40" s="2"/>
      <c r="AS40" s="11"/>
      <c r="AT40" s="11"/>
      <c r="AU40" s="11"/>
      <c r="AV40" s="2"/>
      <c r="AW40" s="2"/>
      <c r="AX40" s="2"/>
      <c r="AY40" s="2"/>
      <c r="AZ40" s="12"/>
      <c r="BA40" s="11"/>
      <c r="BB40" s="11"/>
      <c r="BC40" s="11"/>
      <c r="BD40" s="2"/>
      <c r="BE40" s="2"/>
      <c r="BF40" s="2"/>
      <c r="BG40" s="2"/>
      <c r="BH40" s="2"/>
      <c r="BI40" s="11"/>
      <c r="BJ40" s="11"/>
      <c r="BK40" s="11"/>
      <c r="BL40" s="2"/>
      <c r="BM40" s="2"/>
      <c r="BN40" s="2"/>
      <c r="BO40" s="2"/>
      <c r="BP40" s="2"/>
      <c r="BQ40" s="11"/>
      <c r="BR40" s="11"/>
      <c r="BS40" s="11"/>
      <c r="BT40" s="2"/>
      <c r="BU40" s="2"/>
      <c r="BV40" s="2"/>
      <c r="BW40" s="2"/>
      <c r="BX40" s="2"/>
      <c r="BY40" s="11"/>
      <c r="BZ40" s="11"/>
      <c r="CA40" s="11"/>
      <c r="CB40" s="2"/>
      <c r="CC40" s="2"/>
      <c r="CD40" s="2"/>
      <c r="CE40" s="2"/>
      <c r="CF40" s="2"/>
      <c r="CG40" s="11"/>
      <c r="CH40" s="11"/>
      <c r="CI40" s="11"/>
      <c r="CJ40" s="2"/>
      <c r="CK40" s="2"/>
      <c r="CL40" s="2"/>
      <c r="CM40" s="2">
        <f t="shared" si="1"/>
        <v>64.44</v>
      </c>
      <c r="CN40" s="3">
        <f t="shared" si="2"/>
        <v>65.62</v>
      </c>
      <c r="CO40" s="2">
        <f t="shared" si="0"/>
        <v>19.704000000000001</v>
      </c>
      <c r="CP40" s="2"/>
    </row>
    <row r="41" spans="1:94" ht="15.75" customHeight="1">
      <c r="A41" s="1">
        <v>40</v>
      </c>
      <c r="B41" s="2">
        <v>20653</v>
      </c>
      <c r="C41" s="10">
        <v>45357</v>
      </c>
      <c r="D41" s="2">
        <v>4</v>
      </c>
      <c r="E41" s="2">
        <v>468</v>
      </c>
      <c r="F41" s="11">
        <v>1.33</v>
      </c>
      <c r="G41" s="11">
        <v>7.1630000000000003</v>
      </c>
      <c r="H41" s="11">
        <v>3.27</v>
      </c>
      <c r="I41" s="11">
        <v>19.78</v>
      </c>
      <c r="J41" s="2" t="s">
        <v>87</v>
      </c>
      <c r="K41" s="2">
        <v>44260</v>
      </c>
      <c r="L41" s="2">
        <v>127</v>
      </c>
      <c r="M41" s="11">
        <v>1.66</v>
      </c>
      <c r="N41" s="11">
        <v>7.31</v>
      </c>
      <c r="O41" s="11">
        <v>3.96</v>
      </c>
      <c r="P41" s="2" t="s">
        <v>86</v>
      </c>
      <c r="Q41" s="2">
        <v>0</v>
      </c>
      <c r="R41" s="2"/>
      <c r="S41" s="2">
        <v>44282</v>
      </c>
      <c r="T41" s="2">
        <v>102</v>
      </c>
      <c r="U41" s="11">
        <v>1.3</v>
      </c>
      <c r="V41" s="11">
        <v>7.27</v>
      </c>
      <c r="W41" s="11">
        <v>2.95</v>
      </c>
      <c r="X41" s="2" t="s">
        <v>86</v>
      </c>
      <c r="Y41" s="2">
        <v>0</v>
      </c>
      <c r="Z41" s="2"/>
      <c r="AA41" s="2">
        <v>44286</v>
      </c>
      <c r="AB41" s="2">
        <v>132</v>
      </c>
      <c r="AC41" s="11">
        <v>1.22</v>
      </c>
      <c r="AD41" s="11">
        <v>7.03</v>
      </c>
      <c r="AE41" s="11">
        <v>3.02</v>
      </c>
      <c r="AF41" s="2" t="s">
        <v>86</v>
      </c>
      <c r="AG41" s="2">
        <v>0</v>
      </c>
      <c r="AH41" s="2"/>
      <c r="AI41" s="2">
        <v>44111</v>
      </c>
      <c r="AJ41" s="2">
        <v>107</v>
      </c>
      <c r="AK41" s="11">
        <v>1.1299999999999999</v>
      </c>
      <c r="AL41" s="11">
        <v>6.84</v>
      </c>
      <c r="AM41" s="11">
        <v>3.1</v>
      </c>
      <c r="AN41" s="2" t="s">
        <v>86</v>
      </c>
      <c r="AO41" s="2">
        <v>0</v>
      </c>
      <c r="AP41" s="2"/>
      <c r="AQ41" s="2"/>
      <c r="AR41" s="2"/>
      <c r="AS41" s="11"/>
      <c r="AT41" s="11"/>
      <c r="AU41" s="11"/>
      <c r="AV41" s="2"/>
      <c r="AW41" s="2"/>
      <c r="AX41" s="2"/>
      <c r="AY41" s="2"/>
      <c r="AZ41" s="12"/>
      <c r="BA41" s="11"/>
      <c r="BB41" s="11"/>
      <c r="BC41" s="11"/>
      <c r="BD41" s="2"/>
      <c r="BE41" s="2"/>
      <c r="BF41" s="2"/>
      <c r="BG41" s="2"/>
      <c r="BH41" s="2"/>
      <c r="BI41" s="11"/>
      <c r="BJ41" s="11"/>
      <c r="BK41" s="11"/>
      <c r="BL41" s="2"/>
      <c r="BM41" s="2"/>
      <c r="BN41" s="2"/>
      <c r="BO41" s="2"/>
      <c r="BP41" s="2"/>
      <c r="BQ41" s="11"/>
      <c r="BR41" s="11"/>
      <c r="BS41" s="11"/>
      <c r="BT41" s="2"/>
      <c r="BU41" s="2"/>
      <c r="BV41" s="2"/>
      <c r="BW41" s="2"/>
      <c r="BX41" s="2"/>
      <c r="BY41" s="11"/>
      <c r="BZ41" s="11"/>
      <c r="CA41" s="11"/>
      <c r="CB41" s="2"/>
      <c r="CC41" s="2"/>
      <c r="CD41" s="2"/>
      <c r="CE41" s="2"/>
      <c r="CF41" s="2"/>
      <c r="CG41" s="11"/>
      <c r="CH41" s="11"/>
      <c r="CI41" s="11"/>
      <c r="CJ41" s="2"/>
      <c r="CK41" s="2"/>
      <c r="CL41" s="2"/>
      <c r="CM41" s="2">
        <f t="shared" si="1"/>
        <v>63.402000000000001</v>
      </c>
      <c r="CN41" s="3">
        <f t="shared" si="2"/>
        <v>64.731999999999999</v>
      </c>
      <c r="CO41" s="2">
        <f t="shared" si="0"/>
        <v>19.425000000000001</v>
      </c>
      <c r="CP41" s="2"/>
    </row>
    <row r="42" spans="1:94" ht="15.75" customHeight="1">
      <c r="A42" s="1">
        <v>41</v>
      </c>
      <c r="B42" s="2">
        <v>20654</v>
      </c>
      <c r="C42" s="10">
        <v>45357</v>
      </c>
      <c r="D42" s="2">
        <v>4</v>
      </c>
      <c r="E42" s="2">
        <v>463</v>
      </c>
      <c r="F42" s="11">
        <v>1.28</v>
      </c>
      <c r="G42" s="11">
        <v>7.11</v>
      </c>
      <c r="H42" s="11">
        <v>3.35</v>
      </c>
      <c r="I42" s="11">
        <v>19.89</v>
      </c>
      <c r="J42" s="2" t="s">
        <v>87</v>
      </c>
      <c r="K42" s="2">
        <v>44099</v>
      </c>
      <c r="L42" s="2">
        <v>51</v>
      </c>
      <c r="M42" s="11">
        <v>1.55</v>
      </c>
      <c r="N42" s="11">
        <v>7.13</v>
      </c>
      <c r="O42" s="11">
        <v>2.36</v>
      </c>
      <c r="P42" s="2" t="s">
        <v>86</v>
      </c>
      <c r="Q42" s="2">
        <v>0</v>
      </c>
      <c r="R42" s="2"/>
      <c r="S42" s="2">
        <v>44307</v>
      </c>
      <c r="T42" s="2">
        <v>142</v>
      </c>
      <c r="U42" s="11">
        <v>1.1100000000000001</v>
      </c>
      <c r="V42" s="11">
        <v>7.05</v>
      </c>
      <c r="W42" s="11">
        <v>3.28</v>
      </c>
      <c r="X42" s="2" t="s">
        <v>86</v>
      </c>
      <c r="Y42" s="2">
        <v>0</v>
      </c>
      <c r="Z42" s="2"/>
      <c r="AA42" s="2">
        <v>44282</v>
      </c>
      <c r="AB42" s="2">
        <v>130</v>
      </c>
      <c r="AC42" s="11">
        <v>1.24</v>
      </c>
      <c r="AD42" s="11">
        <v>7.14</v>
      </c>
      <c r="AE42" s="11">
        <v>3.15</v>
      </c>
      <c r="AF42" s="2" t="s">
        <v>86</v>
      </c>
      <c r="AG42" s="2">
        <v>0</v>
      </c>
      <c r="AH42" s="2"/>
      <c r="AI42" s="2">
        <v>44305</v>
      </c>
      <c r="AJ42" s="2">
        <v>140</v>
      </c>
      <c r="AK42" s="11">
        <v>1.25</v>
      </c>
      <c r="AL42" s="11">
        <v>6.99</v>
      </c>
      <c r="AM42" s="11">
        <v>4.04</v>
      </c>
      <c r="AN42" s="2" t="s">
        <v>86</v>
      </c>
      <c r="AO42" s="2">
        <v>0</v>
      </c>
      <c r="AP42" s="2"/>
      <c r="AQ42" s="2"/>
      <c r="AR42" s="2"/>
      <c r="AS42" s="11"/>
      <c r="AT42" s="11"/>
      <c r="AU42" s="11"/>
      <c r="AV42" s="2"/>
      <c r="AW42" s="2"/>
      <c r="AX42" s="2"/>
      <c r="AY42" s="2"/>
      <c r="AZ42" s="12"/>
      <c r="BA42" s="11"/>
      <c r="BB42" s="11"/>
      <c r="BC42" s="11"/>
      <c r="BD42" s="2"/>
      <c r="BE42" s="2"/>
      <c r="BF42" s="2"/>
      <c r="BG42" s="2"/>
      <c r="BH42" s="2"/>
      <c r="BI42" s="11"/>
      <c r="BJ42" s="11"/>
      <c r="BK42" s="11"/>
      <c r="BL42" s="2"/>
      <c r="BM42" s="2"/>
      <c r="BN42" s="2"/>
      <c r="BO42" s="2"/>
      <c r="BP42" s="2"/>
      <c r="BQ42" s="11"/>
      <c r="BR42" s="11"/>
      <c r="BS42" s="11"/>
      <c r="BT42" s="2"/>
      <c r="BU42" s="2"/>
      <c r="BV42" s="2"/>
      <c r="BW42" s="2"/>
      <c r="BX42" s="2"/>
      <c r="BY42" s="11"/>
      <c r="BZ42" s="11"/>
      <c r="CA42" s="11"/>
      <c r="CB42" s="2"/>
      <c r="CC42" s="2"/>
      <c r="CD42" s="2"/>
      <c r="CE42" s="2"/>
      <c r="CF42" s="2"/>
      <c r="CG42" s="11"/>
      <c r="CH42" s="11"/>
      <c r="CI42" s="11"/>
      <c r="CJ42" s="2"/>
      <c r="CK42" s="2"/>
      <c r="CL42" s="2"/>
      <c r="CM42" s="2">
        <f t="shared" si="1"/>
        <v>63.710000000000008</v>
      </c>
      <c r="CN42" s="3">
        <f t="shared" si="2"/>
        <v>64.990000000000009</v>
      </c>
      <c r="CO42" s="2">
        <f t="shared" si="0"/>
        <v>19.581</v>
      </c>
      <c r="CP42" s="2"/>
    </row>
    <row r="43" spans="1:94" ht="15.75" customHeight="1">
      <c r="A43" s="1">
        <v>42</v>
      </c>
      <c r="B43" s="2">
        <v>20662</v>
      </c>
      <c r="C43" s="10">
        <v>45358</v>
      </c>
      <c r="D43" s="2">
        <v>3</v>
      </c>
      <c r="E43" s="2">
        <v>297</v>
      </c>
      <c r="F43" s="11">
        <v>1.35</v>
      </c>
      <c r="G43" s="11">
        <v>7.05</v>
      </c>
      <c r="H43" s="11">
        <v>4.1900000000000004</v>
      </c>
      <c r="I43" s="11">
        <v>22.27</v>
      </c>
      <c r="J43" s="2" t="s">
        <v>90</v>
      </c>
      <c r="K43" s="2">
        <v>44158</v>
      </c>
      <c r="L43" s="2">
        <v>94</v>
      </c>
      <c r="M43" s="11">
        <v>1.37</v>
      </c>
      <c r="N43" s="11">
        <v>6.81</v>
      </c>
      <c r="O43" s="11">
        <v>4.34</v>
      </c>
      <c r="P43" s="2" t="s">
        <v>86</v>
      </c>
      <c r="Q43" s="2">
        <v>0</v>
      </c>
      <c r="R43" s="2"/>
      <c r="S43" s="2">
        <v>44173</v>
      </c>
      <c r="T43" s="2">
        <v>87</v>
      </c>
      <c r="U43" s="11">
        <v>1.22</v>
      </c>
      <c r="V43" s="11">
        <v>7.05</v>
      </c>
      <c r="W43" s="11">
        <v>3.76</v>
      </c>
      <c r="X43" s="2" t="s">
        <v>86</v>
      </c>
      <c r="Y43" s="2">
        <v>0</v>
      </c>
      <c r="Z43" s="2"/>
      <c r="AA43" s="2">
        <v>44188</v>
      </c>
      <c r="AB43" s="2">
        <v>117</v>
      </c>
      <c r="AC43" s="11">
        <v>1.39</v>
      </c>
      <c r="AD43" s="11">
        <v>7.2</v>
      </c>
      <c r="AE43" s="11">
        <v>4.41</v>
      </c>
      <c r="AF43" s="2" t="s">
        <v>86</v>
      </c>
      <c r="AG43" s="2">
        <v>0</v>
      </c>
      <c r="AH43" s="2"/>
      <c r="AI43" s="2"/>
      <c r="AJ43" s="2"/>
      <c r="AK43" s="11"/>
      <c r="AL43" s="11"/>
      <c r="AM43" s="11"/>
      <c r="AN43" s="2"/>
      <c r="AO43" s="2"/>
      <c r="AP43" s="2"/>
      <c r="AQ43" s="2"/>
      <c r="AR43" s="2"/>
      <c r="AS43" s="11"/>
      <c r="AT43" s="11"/>
      <c r="AU43" s="11"/>
      <c r="AV43" s="2"/>
      <c r="AW43" s="2"/>
      <c r="AX43" s="2"/>
      <c r="AY43" s="2"/>
      <c r="AZ43" s="12"/>
      <c r="BA43" s="11"/>
      <c r="BB43" s="11"/>
      <c r="BC43" s="11"/>
      <c r="BD43" s="2"/>
      <c r="BE43" s="2"/>
      <c r="BF43" s="2"/>
      <c r="BG43" s="2"/>
      <c r="BH43" s="2"/>
      <c r="BI43" s="11"/>
      <c r="BJ43" s="11"/>
      <c r="BK43" s="11"/>
      <c r="BL43" s="2"/>
      <c r="BM43" s="2"/>
      <c r="BN43" s="2"/>
      <c r="BO43" s="2"/>
      <c r="BP43" s="2"/>
      <c r="BQ43" s="11"/>
      <c r="BR43" s="11"/>
      <c r="BS43" s="11"/>
      <c r="BT43" s="2"/>
      <c r="BU43" s="2"/>
      <c r="BV43" s="2"/>
      <c r="BW43" s="2"/>
      <c r="BX43" s="2"/>
      <c r="BY43" s="11"/>
      <c r="BZ43" s="11"/>
      <c r="CA43" s="11"/>
      <c r="CB43" s="2"/>
      <c r="CC43" s="2"/>
      <c r="CD43" s="2"/>
      <c r="CE43" s="2"/>
      <c r="CF43" s="2"/>
      <c r="CG43" s="11"/>
      <c r="CH43" s="11"/>
      <c r="CI43" s="11"/>
      <c r="CJ43" s="2"/>
      <c r="CK43" s="2"/>
      <c r="CL43" s="2"/>
      <c r="CM43" s="2">
        <f t="shared" si="1"/>
        <v>71.31</v>
      </c>
      <c r="CN43" s="3">
        <f t="shared" si="2"/>
        <v>72.66</v>
      </c>
      <c r="CO43" s="2">
        <f t="shared" si="0"/>
        <v>21.933</v>
      </c>
      <c r="CP43" s="2"/>
    </row>
    <row r="44" spans="1:94" ht="15.75" customHeight="1">
      <c r="A44" s="1">
        <v>43</v>
      </c>
      <c r="B44" s="2">
        <v>20663</v>
      </c>
      <c r="C44" s="10">
        <v>45358</v>
      </c>
      <c r="D44" s="2">
        <v>4</v>
      </c>
      <c r="E44" s="2">
        <v>457</v>
      </c>
      <c r="F44" s="11">
        <v>1.18</v>
      </c>
      <c r="G44" s="11">
        <v>7.29</v>
      </c>
      <c r="H44" s="11">
        <v>3.24</v>
      </c>
      <c r="I44" s="11">
        <v>19.63</v>
      </c>
      <c r="J44" s="2" t="s">
        <v>87</v>
      </c>
      <c r="K44" s="2">
        <v>44335</v>
      </c>
      <c r="L44" s="2">
        <v>147</v>
      </c>
      <c r="M44" s="11">
        <v>1.52</v>
      </c>
      <c r="N44" s="11">
        <v>7.34</v>
      </c>
      <c r="O44" s="11">
        <v>4.1500000000000004</v>
      </c>
      <c r="P44" s="2" t="s">
        <v>86</v>
      </c>
      <c r="Q44" s="2">
        <v>0</v>
      </c>
      <c r="R44" s="2"/>
      <c r="S44" s="2">
        <v>43949</v>
      </c>
      <c r="T44" s="2">
        <v>128</v>
      </c>
      <c r="U44" s="11">
        <v>1.02</v>
      </c>
      <c r="V44" s="11">
        <v>7.21</v>
      </c>
      <c r="W44" s="11">
        <v>3.12</v>
      </c>
      <c r="X44" s="2" t="s">
        <v>86</v>
      </c>
      <c r="Y44" s="2">
        <v>0</v>
      </c>
      <c r="Z44" s="2"/>
      <c r="AA44" s="2">
        <v>43882</v>
      </c>
      <c r="AB44" s="2">
        <v>140</v>
      </c>
      <c r="AC44" s="11">
        <v>0.94</v>
      </c>
      <c r="AD44" s="11">
        <v>7.26</v>
      </c>
      <c r="AE44" s="11">
        <v>2.5099999999999998</v>
      </c>
      <c r="AF44" s="2" t="s">
        <v>86</v>
      </c>
      <c r="AG44" s="2">
        <v>0</v>
      </c>
      <c r="AH44" s="2"/>
      <c r="AI44" s="2">
        <v>44307</v>
      </c>
      <c r="AJ44" s="2">
        <v>42</v>
      </c>
      <c r="AK44" s="11">
        <v>1.0900000000000001</v>
      </c>
      <c r="AL44" s="11">
        <v>7.11</v>
      </c>
      <c r="AM44" s="11">
        <v>3.48</v>
      </c>
      <c r="AN44" s="2" t="s">
        <v>86</v>
      </c>
      <c r="AO44" s="2">
        <v>0</v>
      </c>
      <c r="AP44" s="2"/>
      <c r="AQ44" s="2"/>
      <c r="AR44" s="2"/>
      <c r="AS44" s="11"/>
      <c r="AT44" s="11"/>
      <c r="AU44" s="11"/>
      <c r="AV44" s="2"/>
      <c r="AW44" s="2"/>
      <c r="AX44" s="2"/>
      <c r="AY44" s="2"/>
      <c r="AZ44" s="12"/>
      <c r="BA44" s="11"/>
      <c r="BB44" s="11"/>
      <c r="BC44" s="11"/>
      <c r="BD44" s="2"/>
      <c r="BE44" s="2"/>
      <c r="BF44" s="2"/>
      <c r="BG44" s="2"/>
      <c r="BH44" s="2"/>
      <c r="BI44" s="11"/>
      <c r="BJ44" s="11"/>
      <c r="BK44" s="11"/>
      <c r="BL44" s="2"/>
      <c r="BM44" s="2"/>
      <c r="BN44" s="2"/>
      <c r="BO44" s="2"/>
      <c r="BP44" s="2"/>
      <c r="BQ44" s="11"/>
      <c r="BR44" s="11"/>
      <c r="BS44" s="11"/>
      <c r="BT44" s="2"/>
      <c r="BU44" s="2"/>
      <c r="BV44" s="2"/>
      <c r="BW44" s="2"/>
      <c r="BX44" s="2"/>
      <c r="BY44" s="11"/>
      <c r="BZ44" s="11"/>
      <c r="CA44" s="11"/>
      <c r="CB44" s="2"/>
      <c r="CC44" s="2"/>
      <c r="CD44" s="2"/>
      <c r="CE44" s="2"/>
      <c r="CF44" s="2"/>
      <c r="CG44" s="11"/>
      <c r="CH44" s="11"/>
      <c r="CI44" s="11"/>
      <c r="CJ44" s="2"/>
      <c r="CK44" s="2"/>
      <c r="CL44" s="2"/>
      <c r="CM44" s="2">
        <f t="shared" si="1"/>
        <v>63.040000000000006</v>
      </c>
      <c r="CN44" s="3">
        <f t="shared" si="2"/>
        <v>64.22</v>
      </c>
      <c r="CO44" s="2">
        <f t="shared" si="0"/>
        <v>19.164000000000001</v>
      </c>
      <c r="CP44" s="2"/>
    </row>
    <row r="45" spans="1:94" ht="15.75" customHeight="1">
      <c r="A45" s="1">
        <v>44</v>
      </c>
      <c r="B45" s="2">
        <v>20664</v>
      </c>
      <c r="C45" s="10">
        <v>45358</v>
      </c>
      <c r="D45" s="2">
        <v>4</v>
      </c>
      <c r="E45" s="2">
        <v>465</v>
      </c>
      <c r="F45" s="11">
        <v>1.23</v>
      </c>
      <c r="G45" s="11">
        <v>7.2</v>
      </c>
      <c r="H45" s="11">
        <v>3.39</v>
      </c>
      <c r="I45" s="11">
        <v>20.02</v>
      </c>
      <c r="J45" s="2" t="s">
        <v>87</v>
      </c>
      <c r="K45" s="2">
        <v>44335</v>
      </c>
      <c r="L45" s="2">
        <v>136</v>
      </c>
      <c r="M45" s="11">
        <v>1.51</v>
      </c>
      <c r="N45" s="11">
        <v>7.31</v>
      </c>
      <c r="O45" s="11">
        <v>4.07</v>
      </c>
      <c r="P45" s="2" t="s">
        <v>86</v>
      </c>
      <c r="Q45" s="2">
        <v>0</v>
      </c>
      <c r="R45" s="2"/>
      <c r="S45" s="2">
        <v>43916</v>
      </c>
      <c r="T45" s="2">
        <v>134</v>
      </c>
      <c r="U45" s="11">
        <v>1.04</v>
      </c>
      <c r="V45" s="11">
        <v>7.11</v>
      </c>
      <c r="W45" s="11">
        <v>2.5299999999999998</v>
      </c>
      <c r="X45" s="2" t="s">
        <v>86</v>
      </c>
      <c r="Y45" s="2">
        <v>0</v>
      </c>
      <c r="Z45" s="2"/>
      <c r="AA45" s="2">
        <v>44227</v>
      </c>
      <c r="AB45" s="2">
        <v>108</v>
      </c>
      <c r="AC45" s="11">
        <v>1.0900000000000001</v>
      </c>
      <c r="AD45" s="11">
        <v>7.14</v>
      </c>
      <c r="AE45" s="11">
        <v>2.99</v>
      </c>
      <c r="AF45" s="2" t="s">
        <v>86</v>
      </c>
      <c r="AG45" s="2">
        <v>0</v>
      </c>
      <c r="AH45" s="2"/>
      <c r="AI45" s="2">
        <v>43503</v>
      </c>
      <c r="AJ45" s="2">
        <v>88</v>
      </c>
      <c r="AK45" s="11">
        <v>1.1599999999999999</v>
      </c>
      <c r="AL45" s="11">
        <v>7.09</v>
      </c>
      <c r="AM45" s="11">
        <v>4.3</v>
      </c>
      <c r="AN45" s="2" t="s">
        <v>86</v>
      </c>
      <c r="AO45" s="2">
        <v>0</v>
      </c>
      <c r="AP45" s="2"/>
      <c r="AQ45" s="2"/>
      <c r="AR45" s="2"/>
      <c r="AS45" s="11"/>
      <c r="AT45" s="11"/>
      <c r="AU45" s="11"/>
      <c r="AV45" s="2"/>
      <c r="AW45" s="2"/>
      <c r="AX45" s="2"/>
      <c r="AY45" s="2"/>
      <c r="AZ45" s="12"/>
      <c r="BA45" s="11"/>
      <c r="BB45" s="11"/>
      <c r="BC45" s="11"/>
      <c r="BD45" s="2"/>
      <c r="BE45" s="2"/>
      <c r="BF45" s="2"/>
      <c r="BG45" s="2"/>
      <c r="BH45" s="2"/>
      <c r="BI45" s="11"/>
      <c r="BJ45" s="11"/>
      <c r="BK45" s="11"/>
      <c r="BL45" s="2"/>
      <c r="BM45" s="2"/>
      <c r="BN45" s="2"/>
      <c r="BO45" s="2"/>
      <c r="BP45" s="2"/>
      <c r="BQ45" s="11"/>
      <c r="BR45" s="11"/>
      <c r="BS45" s="11"/>
      <c r="BT45" s="2"/>
      <c r="BU45" s="2"/>
      <c r="BV45" s="2"/>
      <c r="BW45" s="2"/>
      <c r="BX45" s="2"/>
      <c r="BY45" s="11"/>
      <c r="BZ45" s="11"/>
      <c r="CA45" s="11"/>
      <c r="CB45" s="2"/>
      <c r="CC45" s="2"/>
      <c r="CD45" s="2"/>
      <c r="CE45" s="2"/>
      <c r="CF45" s="2"/>
      <c r="CG45" s="11"/>
      <c r="CH45" s="11"/>
      <c r="CI45" s="11"/>
      <c r="CJ45" s="2"/>
      <c r="CK45" s="2"/>
      <c r="CL45" s="2"/>
      <c r="CM45" s="2">
        <f t="shared" si="1"/>
        <v>64.23</v>
      </c>
      <c r="CN45" s="3">
        <f t="shared" si="2"/>
        <v>65.460000000000008</v>
      </c>
      <c r="CO45" s="2">
        <f t="shared" si="0"/>
        <v>19.629000000000001</v>
      </c>
      <c r="CP45" s="2"/>
    </row>
    <row r="46" spans="1:94" ht="15.75" customHeight="1">
      <c r="A46" s="1">
        <v>45</v>
      </c>
      <c r="B46" s="2">
        <v>20665</v>
      </c>
      <c r="C46" s="10">
        <v>45358</v>
      </c>
      <c r="D46" s="2">
        <v>4</v>
      </c>
      <c r="E46" s="2">
        <v>550</v>
      </c>
      <c r="F46" s="11">
        <v>1.19</v>
      </c>
      <c r="G46" s="11">
        <v>7.21</v>
      </c>
      <c r="H46" s="11">
        <v>3.33</v>
      </c>
      <c r="I46" s="11">
        <v>19.8</v>
      </c>
      <c r="J46" s="2" t="s">
        <v>87</v>
      </c>
      <c r="K46" s="2">
        <v>44216</v>
      </c>
      <c r="L46" s="2">
        <v>136</v>
      </c>
      <c r="M46" s="11">
        <v>1.32</v>
      </c>
      <c r="N46" s="11">
        <v>7.21</v>
      </c>
      <c r="O46" s="11">
        <v>4.51</v>
      </c>
      <c r="P46" s="2" t="s">
        <v>86</v>
      </c>
      <c r="Q46" s="2">
        <v>0</v>
      </c>
      <c r="R46" s="2"/>
      <c r="S46" s="2">
        <v>44291</v>
      </c>
      <c r="T46" s="2">
        <v>144</v>
      </c>
      <c r="U46" s="11">
        <v>1.18</v>
      </c>
      <c r="V46" s="11">
        <v>7.25</v>
      </c>
      <c r="W46" s="11">
        <v>2.63</v>
      </c>
      <c r="X46" s="2" t="s">
        <v>86</v>
      </c>
      <c r="Y46" s="2">
        <v>0</v>
      </c>
      <c r="Z46" s="2"/>
      <c r="AA46" s="2">
        <v>44282</v>
      </c>
      <c r="AB46" s="2">
        <v>142</v>
      </c>
      <c r="AC46" s="11">
        <v>1.1100000000000001</v>
      </c>
      <c r="AD46" s="11">
        <v>7.23</v>
      </c>
      <c r="AE46" s="11">
        <v>3.24</v>
      </c>
      <c r="AF46" s="2" t="s">
        <v>86</v>
      </c>
      <c r="AG46" s="2">
        <v>0</v>
      </c>
      <c r="AH46" s="2"/>
      <c r="AI46" s="2">
        <v>44147</v>
      </c>
      <c r="AJ46" s="2">
        <v>128</v>
      </c>
      <c r="AK46" s="11">
        <v>1.17</v>
      </c>
      <c r="AL46" s="11">
        <v>7.14</v>
      </c>
      <c r="AM46" s="11">
        <v>3.09</v>
      </c>
      <c r="AN46" s="2" t="s">
        <v>86</v>
      </c>
      <c r="AO46" s="2">
        <v>0</v>
      </c>
      <c r="AP46" s="2"/>
      <c r="AQ46" s="2"/>
      <c r="AR46" s="2"/>
      <c r="AS46" s="11"/>
      <c r="AT46" s="11"/>
      <c r="AU46" s="11"/>
      <c r="AV46" s="2"/>
      <c r="AW46" s="2"/>
      <c r="AX46" s="2"/>
      <c r="AY46" s="2"/>
      <c r="AZ46" s="12"/>
      <c r="BA46" s="11"/>
      <c r="BB46" s="11"/>
      <c r="BC46" s="11"/>
      <c r="BD46" s="2"/>
      <c r="BE46" s="2"/>
      <c r="BF46" s="2"/>
      <c r="BG46" s="2"/>
      <c r="BH46" s="2"/>
      <c r="BI46" s="11"/>
      <c r="BJ46" s="11"/>
      <c r="BK46" s="11"/>
      <c r="BL46" s="2"/>
      <c r="BM46" s="2"/>
      <c r="BN46" s="2"/>
      <c r="BO46" s="2"/>
      <c r="BP46" s="2"/>
      <c r="BQ46" s="11"/>
      <c r="BR46" s="11"/>
      <c r="BS46" s="11"/>
      <c r="BT46" s="2"/>
      <c r="BU46" s="2"/>
      <c r="BV46" s="2"/>
      <c r="BW46" s="2"/>
      <c r="BX46" s="2"/>
      <c r="BY46" s="11"/>
      <c r="BZ46" s="11"/>
      <c r="CA46" s="11"/>
      <c r="CB46" s="2"/>
      <c r="CC46" s="2"/>
      <c r="CD46" s="2"/>
      <c r="CE46" s="2"/>
      <c r="CF46" s="2"/>
      <c r="CG46" s="11"/>
      <c r="CH46" s="11"/>
      <c r="CI46" s="11"/>
      <c r="CJ46" s="2"/>
      <c r="CK46" s="2"/>
      <c r="CL46" s="2"/>
      <c r="CM46" s="2">
        <f t="shared" si="1"/>
        <v>63.57</v>
      </c>
      <c r="CN46" s="3">
        <f t="shared" si="2"/>
        <v>64.759999999999991</v>
      </c>
      <c r="CO46" s="2">
        <f t="shared" si="0"/>
        <v>19.418999999999997</v>
      </c>
      <c r="CP46" s="2"/>
    </row>
    <row r="47" spans="1:94" ht="15.75" customHeight="1">
      <c r="A47" s="1">
        <v>46</v>
      </c>
      <c r="B47" s="2">
        <v>20666</v>
      </c>
      <c r="C47" s="10">
        <v>45358</v>
      </c>
      <c r="D47" s="2">
        <v>4</v>
      </c>
      <c r="E47" s="2">
        <v>480</v>
      </c>
      <c r="F47" s="11">
        <v>1.22</v>
      </c>
      <c r="G47" s="11">
        <v>7.13</v>
      </c>
      <c r="H47" s="11">
        <v>3.36</v>
      </c>
      <c r="I47" s="11">
        <v>19.84</v>
      </c>
      <c r="J47" s="2" t="s">
        <v>87</v>
      </c>
      <c r="K47" s="2">
        <v>44289</v>
      </c>
      <c r="L47" s="2">
        <v>132</v>
      </c>
      <c r="M47" s="11">
        <v>1.42</v>
      </c>
      <c r="N47" s="11">
        <v>7.1</v>
      </c>
      <c r="O47" s="11">
        <v>3.21</v>
      </c>
      <c r="P47" s="2" t="s">
        <v>86</v>
      </c>
      <c r="Q47" s="2">
        <v>0</v>
      </c>
      <c r="R47" s="2"/>
      <c r="S47" s="2">
        <v>44325</v>
      </c>
      <c r="T47" s="2">
        <v>120</v>
      </c>
      <c r="U47" s="11">
        <v>1.24</v>
      </c>
      <c r="V47" s="11">
        <v>7.07</v>
      </c>
      <c r="W47" s="11">
        <v>3.67</v>
      </c>
      <c r="X47" s="2" t="s">
        <v>86</v>
      </c>
      <c r="Y47" s="2">
        <v>0</v>
      </c>
      <c r="Z47" s="2"/>
      <c r="AA47" s="2">
        <v>44197</v>
      </c>
      <c r="AB47" s="2">
        <v>119</v>
      </c>
      <c r="AC47" s="11">
        <v>0.96</v>
      </c>
      <c r="AD47" s="11">
        <v>6.99</v>
      </c>
      <c r="AE47" s="11">
        <v>2.98</v>
      </c>
      <c r="AF47" s="2" t="s">
        <v>86</v>
      </c>
      <c r="AG47" s="2">
        <v>0</v>
      </c>
      <c r="AH47" s="2"/>
      <c r="AI47" s="2">
        <v>44260</v>
      </c>
      <c r="AJ47" s="2">
        <v>110</v>
      </c>
      <c r="AK47" s="11">
        <v>1.27</v>
      </c>
      <c r="AL47" s="11">
        <v>7.27</v>
      </c>
      <c r="AM47" s="11">
        <v>3.61</v>
      </c>
      <c r="AN47" s="2" t="s">
        <v>86</v>
      </c>
      <c r="AO47" s="2">
        <v>0</v>
      </c>
      <c r="AP47" s="2"/>
      <c r="AQ47" s="2"/>
      <c r="AR47" s="2"/>
      <c r="AS47" s="11"/>
      <c r="AT47" s="11"/>
      <c r="AU47" s="11"/>
      <c r="AV47" s="2"/>
      <c r="AW47" s="2"/>
      <c r="AX47" s="2"/>
      <c r="AY47" s="2"/>
      <c r="AZ47" s="12"/>
      <c r="BA47" s="11"/>
      <c r="BB47" s="11"/>
      <c r="BC47" s="11"/>
      <c r="BD47" s="2"/>
      <c r="BE47" s="2"/>
      <c r="BF47" s="2"/>
      <c r="BG47" s="2"/>
      <c r="BH47" s="2"/>
      <c r="BI47" s="11"/>
      <c r="BJ47" s="11"/>
      <c r="BK47" s="11"/>
      <c r="BL47" s="2"/>
      <c r="BM47" s="2"/>
      <c r="BN47" s="2"/>
      <c r="BO47" s="2"/>
      <c r="BP47" s="2"/>
      <c r="BQ47" s="11"/>
      <c r="BR47" s="11"/>
      <c r="BS47" s="11"/>
      <c r="BT47" s="2"/>
      <c r="BU47" s="2"/>
      <c r="BV47" s="2"/>
      <c r="BW47" s="2"/>
      <c r="BX47" s="2"/>
      <c r="BY47" s="11"/>
      <c r="BZ47" s="11"/>
      <c r="CA47" s="11"/>
      <c r="CB47" s="2"/>
      <c r="CC47" s="2"/>
      <c r="CD47" s="2"/>
      <c r="CE47" s="2"/>
      <c r="CF47" s="2"/>
      <c r="CG47" s="11"/>
      <c r="CH47" s="11"/>
      <c r="CI47" s="11"/>
      <c r="CJ47" s="2"/>
      <c r="CK47" s="2"/>
      <c r="CL47" s="2"/>
      <c r="CM47" s="2">
        <f t="shared" si="1"/>
        <v>63.64</v>
      </c>
      <c r="CN47" s="3">
        <f t="shared" si="2"/>
        <v>64.86</v>
      </c>
      <c r="CO47" s="2">
        <f t="shared" si="0"/>
        <v>19.536000000000001</v>
      </c>
      <c r="CP47" s="2"/>
    </row>
    <row r="48" spans="1:94" ht="15.75" customHeight="1">
      <c r="A48" s="1">
        <v>47</v>
      </c>
      <c r="B48" s="2">
        <v>20667</v>
      </c>
      <c r="C48" s="10">
        <v>45358</v>
      </c>
      <c r="D48" s="2">
        <v>5</v>
      </c>
      <c r="E48" s="2">
        <v>434</v>
      </c>
      <c r="F48" s="11">
        <v>1.1100000000000001</v>
      </c>
      <c r="G48" s="11">
        <v>7.23</v>
      </c>
      <c r="H48" s="11">
        <v>3.42</v>
      </c>
      <c r="I48" s="11">
        <v>19.940000000000001</v>
      </c>
      <c r="J48" s="2" t="s">
        <v>83</v>
      </c>
      <c r="K48" s="2">
        <v>44173</v>
      </c>
      <c r="L48" s="2">
        <v>92</v>
      </c>
      <c r="M48" s="11">
        <v>1.25</v>
      </c>
      <c r="N48" s="11">
        <v>7.05</v>
      </c>
      <c r="O48" s="11">
        <v>3.57</v>
      </c>
      <c r="P48" s="2" t="s">
        <v>84</v>
      </c>
      <c r="Q48" s="2">
        <v>0</v>
      </c>
      <c r="R48" s="2"/>
      <c r="S48" s="2">
        <v>43210</v>
      </c>
      <c r="T48" s="2">
        <v>124</v>
      </c>
      <c r="U48" s="11">
        <v>1.04</v>
      </c>
      <c r="V48" s="11">
        <v>7.32</v>
      </c>
      <c r="W48" s="11">
        <v>3.77</v>
      </c>
      <c r="X48" s="2" t="s">
        <v>84</v>
      </c>
      <c r="Y48" s="2">
        <v>0</v>
      </c>
      <c r="Z48" s="2"/>
      <c r="AA48" s="2">
        <v>43417</v>
      </c>
      <c r="AB48" s="2">
        <v>109</v>
      </c>
      <c r="AC48" s="11">
        <v>1.03</v>
      </c>
      <c r="AD48" s="11">
        <v>7.09</v>
      </c>
      <c r="AE48" s="11">
        <v>3.04</v>
      </c>
      <c r="AF48" s="2" t="s">
        <v>84</v>
      </c>
      <c r="AG48" s="2">
        <v>0</v>
      </c>
      <c r="AH48" s="2"/>
      <c r="AI48" s="2">
        <v>43371</v>
      </c>
      <c r="AJ48" s="2">
        <v>63</v>
      </c>
      <c r="AK48" s="11">
        <v>1.17</v>
      </c>
      <c r="AL48" s="11">
        <v>7.1</v>
      </c>
      <c r="AM48" s="11">
        <v>3.6</v>
      </c>
      <c r="AN48" s="2" t="s">
        <v>84</v>
      </c>
      <c r="AO48" s="2">
        <v>0</v>
      </c>
      <c r="AP48" s="2"/>
      <c r="AQ48" s="2">
        <v>43519</v>
      </c>
      <c r="AR48" s="2">
        <v>46</v>
      </c>
      <c r="AS48" s="11">
        <v>0.96</v>
      </c>
      <c r="AT48" s="11">
        <v>7.31</v>
      </c>
      <c r="AU48" s="11">
        <v>3.23</v>
      </c>
      <c r="AV48" s="2" t="s">
        <v>84</v>
      </c>
      <c r="AW48" s="2">
        <v>0</v>
      </c>
      <c r="AX48" s="2"/>
      <c r="AY48" s="2"/>
      <c r="AZ48" s="12"/>
      <c r="BA48" s="11"/>
      <c r="BB48" s="11"/>
      <c r="BC48" s="11"/>
      <c r="BD48" s="2"/>
      <c r="BE48" s="2"/>
      <c r="BF48" s="2"/>
      <c r="BG48" s="2"/>
      <c r="BH48" s="2"/>
      <c r="BI48" s="11"/>
      <c r="BJ48" s="11"/>
      <c r="BK48" s="11"/>
      <c r="BL48" s="2"/>
      <c r="BM48" s="2"/>
      <c r="BN48" s="2"/>
      <c r="BO48" s="2"/>
      <c r="BP48" s="2"/>
      <c r="BQ48" s="11"/>
      <c r="BR48" s="11"/>
      <c r="BS48" s="11"/>
      <c r="BT48" s="2"/>
      <c r="BU48" s="2"/>
      <c r="BV48" s="2"/>
      <c r="BW48" s="2"/>
      <c r="BX48" s="2"/>
      <c r="BY48" s="11"/>
      <c r="BZ48" s="11"/>
      <c r="CA48" s="11"/>
      <c r="CB48" s="2"/>
      <c r="CC48" s="2"/>
      <c r="CD48" s="2"/>
      <c r="CE48" s="2"/>
      <c r="CF48" s="2"/>
      <c r="CG48" s="11"/>
      <c r="CH48" s="11"/>
      <c r="CI48" s="11"/>
      <c r="CJ48" s="2"/>
      <c r="CK48" s="2"/>
      <c r="CL48" s="2"/>
      <c r="CM48" s="2">
        <f t="shared" si="1"/>
        <v>64.14</v>
      </c>
      <c r="CN48" s="3">
        <f t="shared" si="2"/>
        <v>65.25</v>
      </c>
      <c r="CO48" s="2">
        <f t="shared" si="0"/>
        <v>19.565999999999999</v>
      </c>
      <c r="CP48" s="2"/>
    </row>
    <row r="49" spans="1:94" ht="15.75" customHeight="1">
      <c r="A49" s="1">
        <v>48</v>
      </c>
      <c r="B49" s="2">
        <v>20673</v>
      </c>
      <c r="C49" s="10">
        <v>45359</v>
      </c>
      <c r="D49" s="2">
        <v>5</v>
      </c>
      <c r="E49" s="2">
        <v>568</v>
      </c>
      <c r="F49" s="11">
        <v>1.25</v>
      </c>
      <c r="G49" s="11">
        <v>7.2</v>
      </c>
      <c r="H49" s="11">
        <v>3.4</v>
      </c>
      <c r="I49" s="11">
        <v>20.09</v>
      </c>
      <c r="J49" s="2" t="s">
        <v>85</v>
      </c>
      <c r="K49" s="2">
        <v>44216</v>
      </c>
      <c r="L49" s="2">
        <v>142</v>
      </c>
      <c r="M49" s="11">
        <v>1.3</v>
      </c>
      <c r="N49" s="11">
        <v>7.25</v>
      </c>
      <c r="O49" s="11">
        <v>4.47</v>
      </c>
      <c r="P49" s="2" t="s">
        <v>86</v>
      </c>
      <c r="Q49" s="2">
        <v>0</v>
      </c>
      <c r="R49" s="2"/>
      <c r="S49" s="2">
        <v>43916</v>
      </c>
      <c r="T49" s="2">
        <v>109</v>
      </c>
      <c r="U49" s="11">
        <v>1.04</v>
      </c>
      <c r="V49" s="11">
        <v>7.1</v>
      </c>
      <c r="W49" s="11">
        <v>2.4700000000000002</v>
      </c>
      <c r="X49" s="2" t="s">
        <v>86</v>
      </c>
      <c r="Y49" s="2">
        <v>0</v>
      </c>
      <c r="Z49" s="2"/>
      <c r="AA49" s="2">
        <v>43762</v>
      </c>
      <c r="AB49" s="2">
        <v>118</v>
      </c>
      <c r="AC49" s="11">
        <v>1.21</v>
      </c>
      <c r="AD49" s="11">
        <v>7.33</v>
      </c>
      <c r="AE49" s="11">
        <v>3.9</v>
      </c>
      <c r="AF49" s="2" t="s">
        <v>86</v>
      </c>
      <c r="AG49" s="2">
        <v>0</v>
      </c>
      <c r="AH49" s="2"/>
      <c r="AI49" s="2">
        <v>44147</v>
      </c>
      <c r="AJ49" s="2">
        <v>83</v>
      </c>
      <c r="AK49" s="11">
        <v>1.03</v>
      </c>
      <c r="AL49" s="11">
        <v>7.11</v>
      </c>
      <c r="AM49" s="11">
        <v>2.65</v>
      </c>
      <c r="AN49" s="2" t="s">
        <v>86</v>
      </c>
      <c r="AO49" s="2">
        <v>0</v>
      </c>
      <c r="AP49" s="2"/>
      <c r="AQ49" s="2">
        <v>43437</v>
      </c>
      <c r="AR49" s="2">
        <v>117</v>
      </c>
      <c r="AS49" s="11">
        <v>1.42</v>
      </c>
      <c r="AT49" s="11">
        <v>7.12</v>
      </c>
      <c r="AU49" s="11">
        <v>3.1</v>
      </c>
      <c r="AV49" s="2" t="s">
        <v>86</v>
      </c>
      <c r="AW49" s="2">
        <v>0</v>
      </c>
      <c r="AX49" s="2"/>
      <c r="AY49" s="2"/>
      <c r="AZ49" s="12"/>
      <c r="BA49" s="11"/>
      <c r="BB49" s="11"/>
      <c r="BC49" s="11"/>
      <c r="BD49" s="2"/>
      <c r="BE49" s="2"/>
      <c r="BF49" s="2"/>
      <c r="BG49" s="2"/>
      <c r="BH49" s="2"/>
      <c r="BI49" s="11"/>
      <c r="BJ49" s="11"/>
      <c r="BK49" s="11"/>
      <c r="BL49" s="2"/>
      <c r="BM49" s="2"/>
      <c r="BN49" s="2"/>
      <c r="BO49" s="2"/>
      <c r="BP49" s="2"/>
      <c r="BQ49" s="11"/>
      <c r="BR49" s="11"/>
      <c r="BS49" s="11"/>
      <c r="BT49" s="2"/>
      <c r="BU49" s="2"/>
      <c r="BV49" s="2"/>
      <c r="BW49" s="2"/>
      <c r="BX49" s="2"/>
      <c r="BY49" s="11"/>
      <c r="BZ49" s="11"/>
      <c r="CA49" s="11"/>
      <c r="CB49" s="2"/>
      <c r="CC49" s="2"/>
      <c r="CD49" s="2"/>
      <c r="CE49" s="2"/>
      <c r="CF49" s="2"/>
      <c r="CG49" s="11"/>
      <c r="CH49" s="11"/>
      <c r="CI49" s="11"/>
      <c r="CJ49" s="2"/>
      <c r="CK49" s="2"/>
      <c r="CL49" s="2"/>
      <c r="CM49" s="2">
        <f t="shared" si="1"/>
        <v>64.399999999999991</v>
      </c>
      <c r="CN49" s="3">
        <f t="shared" si="2"/>
        <v>65.649999999999991</v>
      </c>
      <c r="CO49" s="2">
        <f t="shared" si="0"/>
        <v>19.679999999999996</v>
      </c>
      <c r="CP49" s="2"/>
    </row>
    <row r="50" spans="1:94" ht="15.75" customHeight="1">
      <c r="A50" s="1">
        <v>49</v>
      </c>
      <c r="B50" s="2">
        <v>20686</v>
      </c>
      <c r="C50" s="10">
        <v>45363</v>
      </c>
      <c r="D50" s="2">
        <v>5</v>
      </c>
      <c r="E50" s="2">
        <v>561</v>
      </c>
      <c r="F50" s="11">
        <v>1.1499999999999999</v>
      </c>
      <c r="G50" s="11">
        <v>7.08</v>
      </c>
      <c r="H50" s="11">
        <v>3.4</v>
      </c>
      <c r="I50" s="11">
        <v>19.77</v>
      </c>
      <c r="J50" s="2" t="s">
        <v>85</v>
      </c>
      <c r="K50" s="2">
        <v>44360</v>
      </c>
      <c r="L50" s="2">
        <v>108</v>
      </c>
      <c r="M50" s="11">
        <v>1.43</v>
      </c>
      <c r="N50" s="11">
        <v>7.07</v>
      </c>
      <c r="O50" s="11">
        <v>3.65</v>
      </c>
      <c r="P50" s="2" t="s">
        <v>86</v>
      </c>
      <c r="Q50" s="2">
        <v>0</v>
      </c>
      <c r="R50" s="2"/>
      <c r="S50" s="2">
        <v>43866</v>
      </c>
      <c r="T50" s="2">
        <v>113</v>
      </c>
      <c r="U50" s="11">
        <v>1.01</v>
      </c>
      <c r="V50" s="11">
        <v>7.07</v>
      </c>
      <c r="W50" s="11">
        <v>3.29</v>
      </c>
      <c r="X50" s="2" t="s">
        <v>86</v>
      </c>
      <c r="Y50" s="2">
        <v>0</v>
      </c>
      <c r="Z50" s="2"/>
      <c r="AA50" s="2">
        <v>44227</v>
      </c>
      <c r="AB50" s="2">
        <v>53</v>
      </c>
      <c r="AC50" s="11">
        <v>0.92</v>
      </c>
      <c r="AD50" s="11">
        <v>6.87</v>
      </c>
      <c r="AE50" s="11">
        <v>2.77</v>
      </c>
      <c r="AF50" s="2" t="s">
        <v>86</v>
      </c>
      <c r="AG50" s="2">
        <v>0</v>
      </c>
      <c r="AH50" s="2"/>
      <c r="AI50" s="2">
        <v>44335</v>
      </c>
      <c r="AJ50" s="2">
        <v>145</v>
      </c>
      <c r="AK50" s="11">
        <v>1.21</v>
      </c>
      <c r="AL50" s="11">
        <v>7.2</v>
      </c>
      <c r="AM50" s="11">
        <v>3.85</v>
      </c>
      <c r="AN50" s="2" t="s">
        <v>86</v>
      </c>
      <c r="AO50" s="2">
        <v>0</v>
      </c>
      <c r="AP50" s="2"/>
      <c r="AQ50" s="2">
        <v>44153</v>
      </c>
      <c r="AR50" s="2">
        <v>154</v>
      </c>
      <c r="AS50" s="11">
        <v>1.1100000000000001</v>
      </c>
      <c r="AT50" s="11">
        <v>6.95</v>
      </c>
      <c r="AU50" s="11">
        <v>3.27</v>
      </c>
      <c r="AV50" s="2" t="s">
        <v>86</v>
      </c>
      <c r="AW50" s="2">
        <v>0</v>
      </c>
      <c r="AX50" s="2"/>
      <c r="AY50" s="2"/>
      <c r="AZ50" s="12"/>
      <c r="BA50" s="11"/>
      <c r="BB50" s="11"/>
      <c r="BC50" s="11"/>
      <c r="BD50" s="2"/>
      <c r="BE50" s="2"/>
      <c r="BF50" s="2"/>
      <c r="BG50" s="2"/>
      <c r="BH50" s="2"/>
      <c r="BI50" s="11"/>
      <c r="BJ50" s="11"/>
      <c r="BK50" s="11"/>
      <c r="BL50" s="2"/>
      <c r="BM50" s="2"/>
      <c r="BN50" s="2"/>
      <c r="BO50" s="2"/>
      <c r="BP50" s="2"/>
      <c r="BQ50" s="11"/>
      <c r="BR50" s="11"/>
      <c r="BS50" s="11"/>
      <c r="BT50" s="2"/>
      <c r="BU50" s="2"/>
      <c r="BV50" s="2"/>
      <c r="BW50" s="2"/>
      <c r="BX50" s="2"/>
      <c r="BY50" s="11"/>
      <c r="BZ50" s="11"/>
      <c r="CA50" s="11"/>
      <c r="CB50" s="2"/>
      <c r="CC50" s="2"/>
      <c r="CD50" s="2"/>
      <c r="CE50" s="2"/>
      <c r="CF50" s="2"/>
      <c r="CG50" s="11"/>
      <c r="CH50" s="11"/>
      <c r="CI50" s="11"/>
      <c r="CJ50" s="2"/>
      <c r="CK50" s="2"/>
      <c r="CL50" s="2"/>
      <c r="CM50" s="2">
        <f t="shared" si="1"/>
        <v>63.519999999999996</v>
      </c>
      <c r="CN50" s="3">
        <f t="shared" si="2"/>
        <v>64.67</v>
      </c>
      <c r="CO50" s="2">
        <f t="shared" si="0"/>
        <v>19.559999999999999</v>
      </c>
      <c r="CP50" s="2"/>
    </row>
    <row r="51" spans="1:94" ht="15.75" customHeight="1">
      <c r="A51" s="1">
        <v>50</v>
      </c>
      <c r="B51" s="2">
        <v>20687</v>
      </c>
      <c r="C51" s="10">
        <v>45363</v>
      </c>
      <c r="D51" s="2">
        <v>5</v>
      </c>
      <c r="E51" s="2">
        <v>512</v>
      </c>
      <c r="F51" s="11">
        <v>1.17</v>
      </c>
      <c r="G51" s="11">
        <v>7.2</v>
      </c>
      <c r="H51" s="11">
        <v>3.31</v>
      </c>
      <c r="I51" s="11">
        <v>19.7</v>
      </c>
      <c r="J51" s="2" t="s">
        <v>87</v>
      </c>
      <c r="K51" s="2">
        <v>43437</v>
      </c>
      <c r="L51" s="2">
        <v>55</v>
      </c>
      <c r="M51" s="11">
        <v>1.37</v>
      </c>
      <c r="N51" s="11">
        <v>7.06</v>
      </c>
      <c r="O51" s="11">
        <v>2.98</v>
      </c>
      <c r="P51" s="2" t="s">
        <v>86</v>
      </c>
      <c r="Q51" s="2">
        <v>0</v>
      </c>
      <c r="R51" s="2"/>
      <c r="S51" s="2">
        <v>44215</v>
      </c>
      <c r="T51" s="2">
        <v>124</v>
      </c>
      <c r="U51" s="11">
        <v>1.1499999999999999</v>
      </c>
      <c r="V51" s="11">
        <v>7</v>
      </c>
      <c r="W51" s="11">
        <v>3.41</v>
      </c>
      <c r="X51" s="2" t="s">
        <v>86</v>
      </c>
      <c r="Y51" s="2">
        <v>0</v>
      </c>
      <c r="Z51" s="2"/>
      <c r="AA51" s="2">
        <v>43866</v>
      </c>
      <c r="AB51" s="2">
        <v>114</v>
      </c>
      <c r="AC51" s="11">
        <v>1.07</v>
      </c>
      <c r="AD51" s="11">
        <v>7.18</v>
      </c>
      <c r="AE51" s="11">
        <v>3.09</v>
      </c>
      <c r="AF51" s="2" t="s">
        <v>86</v>
      </c>
      <c r="AG51" s="2">
        <v>0</v>
      </c>
      <c r="AH51" s="2"/>
      <c r="AI51" s="2">
        <v>44182</v>
      </c>
      <c r="AJ51" s="2">
        <v>111</v>
      </c>
      <c r="AK51" s="11">
        <v>1.19</v>
      </c>
      <c r="AL51" s="11">
        <v>7.4</v>
      </c>
      <c r="AM51" s="11">
        <v>2.6</v>
      </c>
      <c r="AN51" s="2" t="s">
        <v>86</v>
      </c>
      <c r="AO51" s="2">
        <v>0</v>
      </c>
      <c r="AP51" s="2"/>
      <c r="AQ51" s="2">
        <v>44213</v>
      </c>
      <c r="AR51" s="2">
        <v>108</v>
      </c>
      <c r="AS51" s="11">
        <v>1.1299999999999999</v>
      </c>
      <c r="AT51" s="11">
        <v>7.14</v>
      </c>
      <c r="AU51" s="11">
        <v>4.38</v>
      </c>
      <c r="AV51" s="2" t="s">
        <v>86</v>
      </c>
      <c r="AW51" s="2">
        <v>0</v>
      </c>
      <c r="AX51" s="2"/>
      <c r="AY51" s="2"/>
      <c r="AZ51" s="12"/>
      <c r="BA51" s="11"/>
      <c r="BB51" s="11"/>
      <c r="BC51" s="11"/>
      <c r="BD51" s="2"/>
      <c r="BE51" s="2"/>
      <c r="BF51" s="2"/>
      <c r="BG51" s="2"/>
      <c r="BH51" s="2"/>
      <c r="BI51" s="11"/>
      <c r="BJ51" s="11"/>
      <c r="BK51" s="11"/>
      <c r="BL51" s="2"/>
      <c r="BM51" s="2"/>
      <c r="BN51" s="2"/>
      <c r="BO51" s="2"/>
      <c r="BP51" s="2"/>
      <c r="BQ51" s="11"/>
      <c r="BR51" s="11"/>
      <c r="BS51" s="11"/>
      <c r="BT51" s="2"/>
      <c r="BU51" s="2"/>
      <c r="BV51" s="2"/>
      <c r="BW51" s="2"/>
      <c r="BX51" s="2"/>
      <c r="BY51" s="11"/>
      <c r="BZ51" s="11"/>
      <c r="CA51" s="11"/>
      <c r="CB51" s="2"/>
      <c r="CC51" s="2"/>
      <c r="CD51" s="2"/>
      <c r="CE51" s="2"/>
      <c r="CF51" s="2"/>
      <c r="CG51" s="11"/>
      <c r="CH51" s="11"/>
      <c r="CI51" s="11"/>
      <c r="CJ51" s="2"/>
      <c r="CK51" s="2"/>
      <c r="CL51" s="2"/>
      <c r="CM51" s="2">
        <f t="shared" si="1"/>
        <v>63.27</v>
      </c>
      <c r="CN51" s="3">
        <f t="shared" si="2"/>
        <v>64.44</v>
      </c>
      <c r="CO51" s="2">
        <f t="shared" si="0"/>
        <v>19.340999999999998</v>
      </c>
      <c r="CP51" s="2"/>
    </row>
    <row r="52" spans="1:94" ht="15.75" customHeight="1">
      <c r="A52" s="1">
        <v>51</v>
      </c>
      <c r="B52" s="2">
        <v>20695</v>
      </c>
      <c r="C52" s="10">
        <v>45364</v>
      </c>
      <c r="D52" s="4">
        <v>4</v>
      </c>
      <c r="E52" s="4">
        <v>557</v>
      </c>
      <c r="F52" s="23">
        <v>1.1499999999999999</v>
      </c>
      <c r="G52" s="23">
        <v>7.12</v>
      </c>
      <c r="H52" s="23">
        <v>3.51</v>
      </c>
      <c r="I52" s="23">
        <v>20.13</v>
      </c>
      <c r="J52" s="4" t="s">
        <v>87</v>
      </c>
      <c r="K52" s="4">
        <v>44273</v>
      </c>
      <c r="L52" s="4">
        <v>151</v>
      </c>
      <c r="M52" s="23">
        <v>1.28</v>
      </c>
      <c r="N52" s="23">
        <v>7.06</v>
      </c>
      <c r="O52" s="23">
        <v>3.77</v>
      </c>
      <c r="P52" s="4" t="s">
        <v>86</v>
      </c>
      <c r="Q52" s="4">
        <v>0</v>
      </c>
      <c r="R52" s="4"/>
      <c r="S52" s="4">
        <v>44324</v>
      </c>
      <c r="T52" s="4">
        <v>142</v>
      </c>
      <c r="U52" s="23">
        <v>1.08</v>
      </c>
      <c r="V52" s="23">
        <v>7.38</v>
      </c>
      <c r="W52" s="23">
        <v>3.31</v>
      </c>
      <c r="X52" s="4" t="s">
        <v>86</v>
      </c>
      <c r="Y52" s="4">
        <v>0</v>
      </c>
      <c r="Z52" s="4"/>
      <c r="AA52" s="4">
        <v>44215</v>
      </c>
      <c r="AB52" s="4">
        <v>117</v>
      </c>
      <c r="AC52" s="23">
        <v>1.1000000000000001</v>
      </c>
      <c r="AD52" s="23">
        <v>6.9</v>
      </c>
      <c r="AE52" s="23">
        <v>3.97</v>
      </c>
      <c r="AF52" s="4" t="s">
        <v>86</v>
      </c>
      <c r="AG52" s="4">
        <v>0</v>
      </c>
      <c r="AH52" s="4"/>
      <c r="AI52" s="4">
        <v>44153</v>
      </c>
      <c r="AJ52" s="4">
        <v>148</v>
      </c>
      <c r="AK52" s="23">
        <v>1.0900000000000001</v>
      </c>
      <c r="AL52" s="23">
        <v>6.99</v>
      </c>
      <c r="AM52" s="23">
        <v>3.41</v>
      </c>
      <c r="AN52" s="4" t="s">
        <v>86</v>
      </c>
      <c r="AO52" s="4">
        <v>0</v>
      </c>
      <c r="AP52" s="4"/>
      <c r="AQ52" s="4"/>
      <c r="AR52" s="4"/>
      <c r="AS52" s="23"/>
      <c r="AT52" s="23"/>
      <c r="AU52" s="23"/>
      <c r="AV52" s="4"/>
      <c r="AW52" s="4"/>
      <c r="AX52" s="4"/>
      <c r="AY52" s="4"/>
      <c r="AZ52" s="24"/>
      <c r="BA52" s="23"/>
      <c r="BB52" s="23"/>
      <c r="BC52" s="23"/>
      <c r="BD52" s="4"/>
      <c r="BE52" s="4"/>
      <c r="BF52" s="4"/>
      <c r="BG52" s="4"/>
      <c r="BH52" s="4"/>
      <c r="BI52" s="23"/>
      <c r="BJ52" s="23"/>
      <c r="BK52" s="23"/>
      <c r="BL52" s="4"/>
      <c r="BM52" s="4"/>
      <c r="BN52" s="4"/>
      <c r="BO52" s="4"/>
      <c r="BP52" s="4"/>
      <c r="BQ52" s="23"/>
      <c r="BR52" s="23"/>
      <c r="BS52" s="23"/>
      <c r="BT52" s="4"/>
      <c r="BU52" s="4"/>
      <c r="BV52" s="4"/>
      <c r="BW52" s="4"/>
      <c r="BX52" s="4"/>
      <c r="BY52" s="23"/>
      <c r="BZ52" s="23"/>
      <c r="CA52" s="23"/>
      <c r="CB52" s="4"/>
      <c r="CC52" s="4"/>
      <c r="CD52" s="4"/>
      <c r="CE52" s="4"/>
      <c r="CF52" s="4"/>
      <c r="CG52" s="23"/>
      <c r="CH52" s="23"/>
      <c r="CI52" s="23"/>
      <c r="CJ52" s="4"/>
      <c r="CK52" s="4"/>
      <c r="CL52" s="4"/>
      <c r="CM52" s="4"/>
      <c r="CN52" s="4"/>
      <c r="CO52" s="4"/>
      <c r="CP52" s="4"/>
    </row>
    <row r="53" spans="1:94" ht="15.75" customHeight="1">
      <c r="A53" s="1">
        <v>52</v>
      </c>
      <c r="B53" s="2">
        <v>20696</v>
      </c>
      <c r="C53" s="10">
        <v>45364</v>
      </c>
      <c r="D53" s="4">
        <v>4</v>
      </c>
      <c r="E53" s="4">
        <v>375</v>
      </c>
      <c r="F53" s="23">
        <v>1.1599999999999999</v>
      </c>
      <c r="G53" s="23">
        <v>7.23</v>
      </c>
      <c r="H53" s="23">
        <v>3.44</v>
      </c>
      <c r="I53" s="23">
        <v>20.079999999999998</v>
      </c>
      <c r="J53" s="4" t="s">
        <v>90</v>
      </c>
      <c r="K53" s="4">
        <v>44127</v>
      </c>
      <c r="L53" s="4">
        <v>72</v>
      </c>
      <c r="M53" s="4">
        <v>1.27</v>
      </c>
      <c r="N53" s="23">
        <v>7.2</v>
      </c>
      <c r="O53" s="23">
        <v>3.54</v>
      </c>
      <c r="P53" s="4" t="s">
        <v>86</v>
      </c>
      <c r="Q53" s="4">
        <v>0</v>
      </c>
      <c r="R53" s="4"/>
      <c r="S53" s="4">
        <v>44376</v>
      </c>
      <c r="T53" s="4">
        <v>147</v>
      </c>
      <c r="U53" s="23">
        <v>1.07</v>
      </c>
      <c r="V53" s="23">
        <v>7.24</v>
      </c>
      <c r="W53" s="23">
        <v>3.57</v>
      </c>
      <c r="X53" s="4" t="s">
        <v>86</v>
      </c>
      <c r="Y53" s="4">
        <v>0</v>
      </c>
      <c r="Z53" s="4"/>
      <c r="AA53" s="4">
        <v>43866</v>
      </c>
      <c r="AB53" s="4">
        <v>74</v>
      </c>
      <c r="AC53" s="23">
        <v>1</v>
      </c>
      <c r="AD53" s="23">
        <v>7.26</v>
      </c>
      <c r="AE53" s="23">
        <v>3.06</v>
      </c>
      <c r="AF53" s="4" t="s">
        <v>86</v>
      </c>
      <c r="AG53" s="4">
        <v>0</v>
      </c>
      <c r="AH53" s="4"/>
      <c r="AI53" s="4">
        <v>44273</v>
      </c>
      <c r="AJ53" s="4">
        <v>83</v>
      </c>
      <c r="AK53" s="23">
        <v>1.2</v>
      </c>
      <c r="AL53" s="23">
        <v>7.02</v>
      </c>
      <c r="AM53" s="23">
        <v>3.76</v>
      </c>
      <c r="AN53" s="4" t="s">
        <v>86</v>
      </c>
      <c r="AO53" s="4">
        <v>0</v>
      </c>
      <c r="AP53" s="4"/>
      <c r="AQ53" s="4"/>
      <c r="AR53" s="4"/>
      <c r="AS53" s="23"/>
      <c r="AT53" s="23"/>
      <c r="AU53" s="23"/>
      <c r="AV53" s="4"/>
      <c r="AW53" s="4"/>
      <c r="AX53" s="4"/>
      <c r="AY53" s="4"/>
      <c r="AZ53" s="24"/>
      <c r="BA53" s="23"/>
      <c r="BB53" s="23"/>
      <c r="BC53" s="23"/>
      <c r="BD53" s="4"/>
      <c r="BE53" s="4"/>
      <c r="BF53" s="4"/>
      <c r="BG53" s="4"/>
      <c r="BH53" s="4"/>
      <c r="BI53" s="23"/>
      <c r="BJ53" s="23"/>
      <c r="BK53" s="23"/>
      <c r="BL53" s="4"/>
      <c r="BM53" s="4"/>
      <c r="BN53" s="4"/>
      <c r="BO53" s="4"/>
      <c r="BP53" s="4"/>
      <c r="BQ53" s="23"/>
      <c r="BR53" s="23"/>
      <c r="BS53" s="23"/>
      <c r="BT53" s="4"/>
      <c r="BU53" s="4"/>
      <c r="BV53" s="4"/>
      <c r="BW53" s="4"/>
      <c r="BX53" s="4"/>
      <c r="BY53" s="23"/>
      <c r="BZ53" s="23"/>
      <c r="CA53" s="23"/>
      <c r="CB53" s="4"/>
      <c r="CC53" s="4"/>
      <c r="CD53" s="4"/>
      <c r="CE53" s="4"/>
      <c r="CF53" s="4"/>
      <c r="CG53" s="23"/>
      <c r="CH53" s="23"/>
      <c r="CI53" s="23"/>
      <c r="CJ53" s="4"/>
      <c r="CK53" s="4"/>
      <c r="CL53" s="4"/>
      <c r="CM53" s="4"/>
      <c r="CN53" s="4"/>
      <c r="CO53" s="4"/>
      <c r="CP53" s="4"/>
    </row>
    <row r="54" spans="1:94" ht="15.75" customHeight="1">
      <c r="A54" s="1">
        <v>53</v>
      </c>
      <c r="B54" s="2">
        <v>20697</v>
      </c>
      <c r="C54" s="10">
        <v>45364</v>
      </c>
      <c r="D54" s="4">
        <v>5</v>
      </c>
      <c r="E54" s="4">
        <v>571</v>
      </c>
      <c r="F54" s="23">
        <v>1.17</v>
      </c>
      <c r="G54" s="23">
        <v>7.15</v>
      </c>
      <c r="H54" s="23">
        <v>3.52</v>
      </c>
      <c r="I54" s="23">
        <v>20.22</v>
      </c>
      <c r="J54" s="4" t="s">
        <v>83</v>
      </c>
      <c r="K54" s="4">
        <v>44258</v>
      </c>
      <c r="L54" s="4">
        <v>138</v>
      </c>
      <c r="M54" s="23">
        <v>1.24</v>
      </c>
      <c r="N54" s="23">
        <v>7</v>
      </c>
      <c r="O54" s="23">
        <v>3.88</v>
      </c>
      <c r="P54" s="4" t="s">
        <v>84</v>
      </c>
      <c r="Q54" s="4">
        <v>0</v>
      </c>
      <c r="R54" s="4"/>
      <c r="S54" s="4">
        <v>44258</v>
      </c>
      <c r="T54" s="4">
        <v>148</v>
      </c>
      <c r="U54" s="23">
        <v>1.23</v>
      </c>
      <c r="V54" s="23">
        <v>7.06</v>
      </c>
      <c r="W54" s="23">
        <v>3.68</v>
      </c>
      <c r="X54" s="4" t="s">
        <v>84</v>
      </c>
      <c r="Y54" s="4">
        <v>0</v>
      </c>
      <c r="Z54" s="4"/>
      <c r="AA54" s="4">
        <v>43064</v>
      </c>
      <c r="AB54" s="4">
        <v>100</v>
      </c>
      <c r="AC54" s="23">
        <v>1.1599999999999999</v>
      </c>
      <c r="AD54" s="23">
        <v>7.07</v>
      </c>
      <c r="AE54" s="23">
        <v>3.28</v>
      </c>
      <c r="AF54" s="4" t="s">
        <v>84</v>
      </c>
      <c r="AG54" s="4">
        <v>0</v>
      </c>
      <c r="AH54" s="4"/>
      <c r="AI54" s="4">
        <v>43435</v>
      </c>
      <c r="AJ54" s="4">
        <v>146</v>
      </c>
      <c r="AK54" s="23">
        <v>1.06</v>
      </c>
      <c r="AL54" s="23">
        <v>7.24</v>
      </c>
      <c r="AM54" s="23">
        <v>3.4</v>
      </c>
      <c r="AN54" s="4" t="s">
        <v>84</v>
      </c>
      <c r="AO54" s="4">
        <v>0</v>
      </c>
      <c r="AP54" s="4"/>
      <c r="AQ54" s="4">
        <v>43417</v>
      </c>
      <c r="AR54" s="4">
        <v>39</v>
      </c>
      <c r="AS54" s="23">
        <v>1.1000000000000001</v>
      </c>
      <c r="AT54" s="23">
        <v>7.02</v>
      </c>
      <c r="AU54" s="23">
        <v>3.06</v>
      </c>
      <c r="AV54" s="4" t="s">
        <v>84</v>
      </c>
      <c r="AW54" s="4">
        <v>0</v>
      </c>
      <c r="AX54" s="4"/>
      <c r="AY54" s="4"/>
      <c r="AZ54" s="24"/>
      <c r="BA54" s="23"/>
      <c r="BB54" s="23"/>
      <c r="BC54" s="23"/>
      <c r="BD54" s="4"/>
      <c r="BE54" s="4"/>
      <c r="BF54" s="4"/>
      <c r="BG54" s="4"/>
      <c r="BH54" s="4"/>
      <c r="BI54" s="23"/>
      <c r="BJ54" s="23"/>
      <c r="BK54" s="23"/>
      <c r="BL54" s="4"/>
      <c r="BM54" s="4"/>
      <c r="BN54" s="4"/>
      <c r="BO54" s="4"/>
      <c r="BP54" s="4"/>
      <c r="BQ54" s="23"/>
      <c r="BR54" s="23"/>
      <c r="BS54" s="23"/>
      <c r="BT54" s="4"/>
      <c r="BU54" s="4"/>
      <c r="BV54" s="4"/>
      <c r="BW54" s="4"/>
      <c r="BX54" s="4"/>
      <c r="BY54" s="23"/>
      <c r="BZ54" s="23"/>
      <c r="CA54" s="23"/>
      <c r="CB54" s="4"/>
      <c r="CC54" s="4"/>
      <c r="CD54" s="4"/>
      <c r="CE54" s="4"/>
      <c r="CF54" s="4"/>
      <c r="CG54" s="23"/>
      <c r="CH54" s="23"/>
      <c r="CI54" s="23"/>
      <c r="CJ54" s="4"/>
      <c r="CK54" s="4"/>
      <c r="CL54" s="4"/>
      <c r="CM54" s="4"/>
      <c r="CN54" s="4"/>
      <c r="CO54" s="4"/>
      <c r="CP54" s="4"/>
    </row>
    <row r="55" spans="1:94" ht="15.75" customHeight="1">
      <c r="A55" s="1">
        <v>54</v>
      </c>
      <c r="B55" s="2">
        <v>20700</v>
      </c>
      <c r="C55" s="10">
        <v>45365</v>
      </c>
      <c r="D55" s="4">
        <v>5</v>
      </c>
      <c r="E55" s="4">
        <v>526</v>
      </c>
      <c r="F55" s="23">
        <v>1.1599999999999999</v>
      </c>
      <c r="G55" s="23">
        <v>7.16</v>
      </c>
      <c r="H55" s="23">
        <v>3.31</v>
      </c>
      <c r="I55" s="23">
        <v>19.64</v>
      </c>
      <c r="J55" s="4" t="s">
        <v>87</v>
      </c>
      <c r="K55" s="4">
        <v>44078</v>
      </c>
      <c r="L55" s="4">
        <v>53</v>
      </c>
      <c r="M55" s="23">
        <v>1.59</v>
      </c>
      <c r="N55" s="23">
        <v>7.24</v>
      </c>
      <c r="O55" s="23">
        <v>3.36</v>
      </c>
      <c r="P55" s="4" t="s">
        <v>86</v>
      </c>
      <c r="Q55" s="4">
        <v>0</v>
      </c>
      <c r="R55" s="4"/>
      <c r="S55" s="4">
        <v>44293</v>
      </c>
      <c r="T55" s="4">
        <v>104</v>
      </c>
      <c r="U55" s="23">
        <v>1.1399999999999999</v>
      </c>
      <c r="V55" s="23">
        <v>7.1</v>
      </c>
      <c r="W55" s="23">
        <v>2.96</v>
      </c>
      <c r="X55" s="4" t="s">
        <v>86</v>
      </c>
      <c r="Y55" s="4">
        <v>0</v>
      </c>
      <c r="Z55" s="4"/>
      <c r="AA55" s="4">
        <v>44273</v>
      </c>
      <c r="AB55" s="4">
        <v>149</v>
      </c>
      <c r="AC55" s="23">
        <v>1.1000000000000001</v>
      </c>
      <c r="AD55" s="23">
        <v>7.1</v>
      </c>
      <c r="AE55" s="23">
        <v>3.7</v>
      </c>
      <c r="AF55" s="4" t="s">
        <v>86</v>
      </c>
      <c r="AG55" s="4">
        <v>0</v>
      </c>
      <c r="AH55" s="4"/>
      <c r="AI55" s="4">
        <v>44324</v>
      </c>
      <c r="AJ55" s="4">
        <v>87</v>
      </c>
      <c r="AK55" s="23">
        <v>1.0900000000000001</v>
      </c>
      <c r="AL55" s="23">
        <v>7.24</v>
      </c>
      <c r="AM55" s="23">
        <v>3.62</v>
      </c>
      <c r="AN55" s="4" t="s">
        <v>86</v>
      </c>
      <c r="AO55" s="4">
        <v>0</v>
      </c>
      <c r="AP55" s="4"/>
      <c r="AQ55" s="4">
        <v>44293</v>
      </c>
      <c r="AR55" s="4">
        <v>136</v>
      </c>
      <c r="AS55" s="23">
        <v>1.08</v>
      </c>
      <c r="AT55" s="23">
        <v>7.11</v>
      </c>
      <c r="AU55" s="23">
        <v>3.25</v>
      </c>
      <c r="AV55" s="4" t="s">
        <v>86</v>
      </c>
      <c r="AW55" s="4">
        <v>0</v>
      </c>
      <c r="AX55" s="4"/>
      <c r="AY55" s="4"/>
      <c r="AZ55" s="24"/>
      <c r="BA55" s="23"/>
      <c r="BB55" s="23"/>
      <c r="BC55" s="23"/>
      <c r="BD55" s="4"/>
      <c r="BE55" s="4"/>
      <c r="BF55" s="4"/>
      <c r="BG55" s="4"/>
      <c r="BH55" s="4"/>
      <c r="BI55" s="23"/>
      <c r="BJ55" s="23"/>
      <c r="BK55" s="23"/>
      <c r="BL55" s="4"/>
      <c r="BM55" s="4"/>
      <c r="BN55" s="4"/>
      <c r="BO55" s="4"/>
      <c r="BP55" s="4"/>
      <c r="BQ55" s="23"/>
      <c r="BR55" s="23"/>
      <c r="BS55" s="23"/>
      <c r="BT55" s="4"/>
      <c r="BU55" s="4"/>
      <c r="BV55" s="4"/>
      <c r="BW55" s="4"/>
      <c r="BX55" s="4"/>
      <c r="BY55" s="23"/>
      <c r="BZ55" s="23"/>
      <c r="CA55" s="23"/>
      <c r="CB55" s="4"/>
      <c r="CC55" s="4"/>
      <c r="CD55" s="4"/>
      <c r="CE55" s="4"/>
      <c r="CF55" s="4"/>
      <c r="CG55" s="23"/>
      <c r="CH55" s="23"/>
      <c r="CI55" s="23"/>
      <c r="CJ55" s="4"/>
      <c r="CK55" s="4"/>
      <c r="CL55" s="4"/>
      <c r="CM55" s="4"/>
      <c r="CN55" s="4"/>
      <c r="CO55" s="4"/>
      <c r="CP55" s="4"/>
    </row>
    <row r="56" spans="1:94" ht="15.75" customHeight="1">
      <c r="A56" s="25">
        <v>55</v>
      </c>
      <c r="B56" s="26">
        <v>20714</v>
      </c>
      <c r="C56" s="27">
        <v>45370</v>
      </c>
      <c r="D56" s="28">
        <v>5</v>
      </c>
      <c r="E56" s="28">
        <v>545</v>
      </c>
      <c r="F56" s="29">
        <v>1.21</v>
      </c>
      <c r="G56" s="29">
        <v>7.09</v>
      </c>
      <c r="H56" s="29">
        <v>4.96</v>
      </c>
      <c r="I56" s="29">
        <v>24.22</v>
      </c>
      <c r="J56" s="28" t="s">
        <v>83</v>
      </c>
      <c r="K56" s="28">
        <v>44297</v>
      </c>
      <c r="L56" s="28">
        <v>77</v>
      </c>
      <c r="M56" s="29">
        <v>1.37</v>
      </c>
      <c r="N56" s="29">
        <v>6.97</v>
      </c>
      <c r="O56" s="29">
        <v>5.48</v>
      </c>
      <c r="P56" s="28" t="s">
        <v>84</v>
      </c>
      <c r="Q56" s="28">
        <v>0</v>
      </c>
      <c r="R56" s="28"/>
      <c r="S56" s="28">
        <v>43517</v>
      </c>
      <c r="T56" s="28">
        <v>114</v>
      </c>
      <c r="U56" s="29">
        <v>1.18</v>
      </c>
      <c r="V56" s="29">
        <v>7.25</v>
      </c>
      <c r="W56" s="29">
        <v>5.37</v>
      </c>
      <c r="X56" s="28" t="s">
        <v>84</v>
      </c>
      <c r="Y56" s="28">
        <v>0</v>
      </c>
      <c r="Z56" s="28"/>
      <c r="AA56" s="28">
        <v>43517</v>
      </c>
      <c r="AB56" s="28">
        <v>102</v>
      </c>
      <c r="AC56" s="29">
        <v>1.1499999999999999</v>
      </c>
      <c r="AD56" s="29">
        <v>7.16</v>
      </c>
      <c r="AE56" s="29">
        <v>4.76</v>
      </c>
      <c r="AF56" s="28" t="s">
        <v>84</v>
      </c>
      <c r="AG56" s="28">
        <v>0</v>
      </c>
      <c r="AH56" s="28"/>
      <c r="AI56" s="28">
        <v>44141</v>
      </c>
      <c r="AJ56" s="28">
        <v>140</v>
      </c>
      <c r="AK56" s="29">
        <v>1.23</v>
      </c>
      <c r="AL56" s="29">
        <v>7.18</v>
      </c>
      <c r="AM56" s="29">
        <v>4.3499999999999996</v>
      </c>
      <c r="AN56" s="28" t="s">
        <v>84</v>
      </c>
      <c r="AO56" s="28">
        <v>0</v>
      </c>
      <c r="AP56" s="28"/>
      <c r="AQ56" s="28">
        <v>43026</v>
      </c>
      <c r="AR56" s="28">
        <v>113</v>
      </c>
      <c r="AS56" s="29">
        <v>1.0900000000000001</v>
      </c>
      <c r="AT56" s="29">
        <v>6.77</v>
      </c>
      <c r="AU56" s="29">
        <v>5.16</v>
      </c>
      <c r="AV56" s="28" t="s">
        <v>84</v>
      </c>
      <c r="AW56" s="28">
        <v>0</v>
      </c>
      <c r="AX56" s="28"/>
      <c r="AY56" s="28"/>
      <c r="AZ56" s="30"/>
      <c r="BA56" s="29"/>
      <c r="BB56" s="29"/>
      <c r="BC56" s="29"/>
      <c r="BD56" s="28"/>
      <c r="BE56" s="28"/>
      <c r="BF56" s="28"/>
      <c r="BG56" s="28"/>
      <c r="BH56" s="28"/>
      <c r="BI56" s="29"/>
      <c r="BJ56" s="29"/>
      <c r="BK56" s="29"/>
      <c r="BL56" s="28"/>
      <c r="BM56" s="28"/>
      <c r="BN56" s="28"/>
      <c r="BO56" s="28"/>
      <c r="BP56" s="28"/>
      <c r="BQ56" s="29"/>
      <c r="BR56" s="29"/>
      <c r="BS56" s="29"/>
      <c r="BT56" s="28"/>
      <c r="BU56" s="28"/>
      <c r="BV56" s="28"/>
      <c r="BW56" s="28"/>
      <c r="BX56" s="28"/>
      <c r="BY56" s="29"/>
      <c r="BZ56" s="29"/>
      <c r="CA56" s="29"/>
      <c r="CB56" s="28"/>
      <c r="CC56" s="28"/>
      <c r="CD56" s="28"/>
      <c r="CE56" s="28"/>
      <c r="CF56" s="28"/>
      <c r="CG56" s="29"/>
      <c r="CH56" s="29"/>
      <c r="CI56" s="29"/>
      <c r="CJ56" s="28"/>
      <c r="CK56" s="28"/>
      <c r="CL56" s="28"/>
      <c r="CM56" s="28"/>
      <c r="CN56" s="28"/>
      <c r="CO56" s="28"/>
      <c r="CP56" s="28"/>
    </row>
    <row r="57" spans="1:94" ht="15.75" customHeight="1">
      <c r="A57" s="1">
        <v>56</v>
      </c>
      <c r="B57" s="2">
        <v>20716</v>
      </c>
      <c r="C57" s="10">
        <v>45370</v>
      </c>
      <c r="D57" s="4">
        <v>5</v>
      </c>
      <c r="E57" s="4">
        <v>539</v>
      </c>
      <c r="F57" s="23">
        <v>1.2</v>
      </c>
      <c r="G57" s="23">
        <v>7.25</v>
      </c>
      <c r="H57" s="23">
        <v>3.33</v>
      </c>
      <c r="I57" s="23">
        <v>19.87</v>
      </c>
      <c r="J57" s="4" t="s">
        <v>87</v>
      </c>
      <c r="K57" s="4">
        <v>44362</v>
      </c>
      <c r="L57" s="4">
        <v>145</v>
      </c>
      <c r="M57" s="23">
        <v>1.44</v>
      </c>
      <c r="N57" s="23">
        <v>7.45</v>
      </c>
      <c r="O57" s="23">
        <v>3.59</v>
      </c>
      <c r="P57" s="4" t="s">
        <v>86</v>
      </c>
      <c r="Q57" s="4">
        <v>0</v>
      </c>
      <c r="R57" s="4"/>
      <c r="S57" s="4">
        <v>43901</v>
      </c>
      <c r="T57" s="4">
        <v>123</v>
      </c>
      <c r="U57" s="23">
        <v>1.06</v>
      </c>
      <c r="V57" s="23">
        <v>7.2</v>
      </c>
      <c r="W57" s="23">
        <v>2.91</v>
      </c>
      <c r="X57" s="4" t="s">
        <v>86</v>
      </c>
      <c r="Y57" s="4">
        <v>0</v>
      </c>
      <c r="Z57" s="4"/>
      <c r="AA57" s="4">
        <v>44012</v>
      </c>
      <c r="AB57" s="4">
        <v>125</v>
      </c>
      <c r="AC57" s="23">
        <v>1.1000000000000001</v>
      </c>
      <c r="AD57" s="23">
        <v>7.18</v>
      </c>
      <c r="AE57" s="23">
        <v>3.39</v>
      </c>
      <c r="AF57" s="4" t="s">
        <v>86</v>
      </c>
      <c r="AG57" s="4">
        <v>0</v>
      </c>
      <c r="AH57" s="4"/>
      <c r="AI57" s="4">
        <v>44261</v>
      </c>
      <c r="AJ57" s="4">
        <v>94</v>
      </c>
      <c r="AK57" s="23">
        <v>1.1299999999999999</v>
      </c>
      <c r="AL57" s="23">
        <v>7.06</v>
      </c>
      <c r="AM57" s="23">
        <v>3.57</v>
      </c>
      <c r="AN57" s="4" t="s">
        <v>86</v>
      </c>
      <c r="AO57" s="4">
        <v>0</v>
      </c>
      <c r="AP57" s="4"/>
      <c r="AQ57" s="4">
        <v>44226</v>
      </c>
      <c r="AR57" s="4">
        <v>53</v>
      </c>
      <c r="AS57" s="23">
        <v>1.1200000000000001</v>
      </c>
      <c r="AT57" s="23">
        <v>7.03</v>
      </c>
      <c r="AU57" s="23">
        <v>3.21</v>
      </c>
      <c r="AV57" s="4" t="s">
        <v>86</v>
      </c>
      <c r="AW57" s="4">
        <v>0</v>
      </c>
      <c r="AX57" s="4"/>
      <c r="AY57" s="4"/>
      <c r="AZ57" s="24"/>
      <c r="BA57" s="23"/>
      <c r="BB57" s="23"/>
      <c r="BC57" s="23"/>
      <c r="BD57" s="4"/>
      <c r="BE57" s="4"/>
      <c r="BF57" s="4"/>
      <c r="BG57" s="4"/>
      <c r="BH57" s="4"/>
      <c r="BI57" s="23"/>
      <c r="BJ57" s="23"/>
      <c r="BK57" s="23"/>
      <c r="BL57" s="4"/>
      <c r="BM57" s="4"/>
      <c r="BN57" s="4"/>
      <c r="BO57" s="4"/>
      <c r="BP57" s="4"/>
      <c r="BQ57" s="23"/>
      <c r="BR57" s="23"/>
      <c r="BS57" s="23"/>
      <c r="BT57" s="4"/>
      <c r="BU57" s="4"/>
      <c r="BV57" s="4"/>
      <c r="BW57" s="4"/>
      <c r="BX57" s="4"/>
      <c r="BY57" s="23"/>
      <c r="BZ57" s="23"/>
      <c r="CA57" s="23"/>
      <c r="CB57" s="4"/>
      <c r="CC57" s="4"/>
      <c r="CD57" s="4"/>
      <c r="CE57" s="4"/>
      <c r="CF57" s="4"/>
      <c r="CG57" s="23"/>
      <c r="CH57" s="23"/>
      <c r="CI57" s="23"/>
      <c r="CJ57" s="4"/>
      <c r="CK57" s="4"/>
      <c r="CL57" s="4"/>
      <c r="CM57" s="4"/>
      <c r="CN57" s="4"/>
      <c r="CO57" s="4"/>
      <c r="CP57" s="4"/>
    </row>
    <row r="58" spans="1:94" ht="15.75" customHeight="1">
      <c r="A58" s="18">
        <v>57</v>
      </c>
      <c r="B58" s="19">
        <v>20734</v>
      </c>
      <c r="C58" s="31">
        <v>45373</v>
      </c>
      <c r="D58" s="32">
        <v>3</v>
      </c>
      <c r="E58" s="32">
        <v>411</v>
      </c>
      <c r="F58" s="33">
        <v>1.27</v>
      </c>
      <c r="G58" s="33">
        <v>7.35</v>
      </c>
      <c r="H58" s="33">
        <v>4.09</v>
      </c>
      <c r="I58" s="33">
        <v>22.21</v>
      </c>
      <c r="J58" s="32" t="s">
        <v>87</v>
      </c>
      <c r="K58" s="32">
        <v>44358</v>
      </c>
      <c r="L58" s="32">
        <v>139</v>
      </c>
      <c r="M58" s="33">
        <v>1.45</v>
      </c>
      <c r="N58" s="33">
        <v>7.31</v>
      </c>
      <c r="O58" s="33">
        <v>4.1900000000000004</v>
      </c>
      <c r="P58" s="32" t="s">
        <v>86</v>
      </c>
      <c r="Q58" s="32">
        <v>0</v>
      </c>
      <c r="R58" s="32"/>
      <c r="S58" s="32">
        <v>44193</v>
      </c>
      <c r="T58" s="32">
        <v>146</v>
      </c>
      <c r="U58" s="33">
        <v>1.26</v>
      </c>
      <c r="V58" s="33">
        <v>7.34</v>
      </c>
      <c r="W58" s="33">
        <v>3.8</v>
      </c>
      <c r="X58" s="32" t="s">
        <v>86</v>
      </c>
      <c r="Y58" s="32">
        <v>0</v>
      </c>
      <c r="Z58" s="32"/>
      <c r="AA58" s="32">
        <v>44269</v>
      </c>
      <c r="AB58" s="32">
        <v>126</v>
      </c>
      <c r="AC58" s="33">
        <v>1.05</v>
      </c>
      <c r="AD58" s="33">
        <v>7.37</v>
      </c>
      <c r="AE58" s="33">
        <v>4.32</v>
      </c>
      <c r="AF58" s="32" t="s">
        <v>86</v>
      </c>
      <c r="AG58" s="32">
        <v>0</v>
      </c>
      <c r="AH58" s="32"/>
      <c r="AI58" s="32"/>
      <c r="AJ58" s="32"/>
      <c r="AK58" s="33"/>
      <c r="AL58" s="33"/>
      <c r="AM58" s="33"/>
      <c r="AN58" s="32"/>
      <c r="AO58" s="32"/>
      <c r="AP58" s="32"/>
      <c r="AQ58" s="32"/>
      <c r="AR58" s="32"/>
      <c r="AS58" s="33"/>
      <c r="AT58" s="33"/>
      <c r="AU58" s="33"/>
      <c r="AV58" s="32"/>
      <c r="AW58" s="32"/>
      <c r="AX58" s="32"/>
      <c r="AY58" s="32"/>
      <c r="AZ58" s="34"/>
      <c r="BA58" s="33"/>
      <c r="BB58" s="33"/>
      <c r="BC58" s="33"/>
      <c r="BD58" s="32"/>
      <c r="BE58" s="32"/>
      <c r="BF58" s="32"/>
      <c r="BG58" s="32"/>
      <c r="BH58" s="32"/>
      <c r="BI58" s="33"/>
      <c r="BJ58" s="33"/>
      <c r="BK58" s="33"/>
      <c r="BL58" s="32"/>
      <c r="BM58" s="32"/>
      <c r="BN58" s="32"/>
      <c r="BO58" s="32"/>
      <c r="BP58" s="32"/>
      <c r="BQ58" s="33"/>
      <c r="BR58" s="33"/>
      <c r="BS58" s="33"/>
      <c r="BT58" s="32"/>
      <c r="BU58" s="32"/>
      <c r="BV58" s="32"/>
      <c r="BW58" s="32"/>
      <c r="BX58" s="32"/>
      <c r="BY58" s="33"/>
      <c r="BZ58" s="33"/>
      <c r="CA58" s="33"/>
      <c r="CB58" s="32"/>
      <c r="CC58" s="32"/>
      <c r="CD58" s="32"/>
      <c r="CE58" s="32"/>
      <c r="CF58" s="32"/>
      <c r="CG58" s="33"/>
      <c r="CH58" s="33"/>
      <c r="CI58" s="33"/>
      <c r="CJ58" s="32"/>
      <c r="CK58" s="32"/>
      <c r="CL58" s="32"/>
      <c r="CM58" s="32"/>
      <c r="CN58" s="32"/>
      <c r="CO58" s="32"/>
      <c r="CP58" s="32"/>
    </row>
    <row r="59" spans="1:94" ht="15.75" customHeight="1">
      <c r="A59" s="1">
        <v>58</v>
      </c>
      <c r="B59" s="2">
        <v>20742</v>
      </c>
      <c r="C59" s="10">
        <v>45377</v>
      </c>
      <c r="D59" s="4">
        <v>5</v>
      </c>
      <c r="E59" s="4">
        <v>556</v>
      </c>
      <c r="F59" s="23">
        <v>1.1200000000000001</v>
      </c>
      <c r="G59" s="23">
        <v>7.19</v>
      </c>
      <c r="H59" s="23">
        <v>3.46</v>
      </c>
      <c r="I59" s="23">
        <v>20.02</v>
      </c>
      <c r="J59" s="4" t="s">
        <v>87</v>
      </c>
      <c r="K59" s="4">
        <v>44389</v>
      </c>
      <c r="L59" s="4">
        <v>121</v>
      </c>
      <c r="M59" s="23">
        <v>1.31</v>
      </c>
      <c r="N59" s="23">
        <v>7.1</v>
      </c>
      <c r="O59" s="23">
        <v>2.81</v>
      </c>
      <c r="P59" s="4" t="s">
        <v>86</v>
      </c>
      <c r="Q59" s="4">
        <v>0</v>
      </c>
      <c r="R59" s="4"/>
      <c r="S59" s="4">
        <v>44426</v>
      </c>
      <c r="T59" s="4">
        <v>105</v>
      </c>
      <c r="U59" s="23">
        <v>0.95</v>
      </c>
      <c r="V59" s="23">
        <v>7.19</v>
      </c>
      <c r="W59" s="23">
        <v>3.8</v>
      </c>
      <c r="X59" s="4" t="s">
        <v>86</v>
      </c>
      <c r="Y59" s="4">
        <v>0</v>
      </c>
      <c r="Z59" s="4"/>
      <c r="AA59" s="4">
        <v>44341</v>
      </c>
      <c r="AB59" s="4">
        <v>136</v>
      </c>
      <c r="AC59" s="23">
        <v>0.95</v>
      </c>
      <c r="AD59" s="23">
        <v>7.43</v>
      </c>
      <c r="AE59" s="23">
        <v>2.91</v>
      </c>
      <c r="AF59" s="4" t="s">
        <v>86</v>
      </c>
      <c r="AG59" s="4">
        <v>0</v>
      </c>
      <c r="AH59" s="4"/>
      <c r="AI59" s="4">
        <v>44090</v>
      </c>
      <c r="AJ59" s="4">
        <v>106</v>
      </c>
      <c r="AK59" s="23">
        <v>1.1000000000000001</v>
      </c>
      <c r="AL59" s="23">
        <v>6.93</v>
      </c>
      <c r="AM59" s="23">
        <v>4.22</v>
      </c>
      <c r="AN59" s="4" t="s">
        <v>86</v>
      </c>
      <c r="AO59" s="4">
        <v>0</v>
      </c>
      <c r="AP59" s="4"/>
      <c r="AQ59" s="4">
        <v>44426</v>
      </c>
      <c r="AR59" s="4">
        <v>88</v>
      </c>
      <c r="AS59" s="23">
        <v>1.04</v>
      </c>
      <c r="AT59" s="23">
        <v>7.09</v>
      </c>
      <c r="AU59" s="23">
        <v>4.1900000000000004</v>
      </c>
      <c r="AV59" s="4" t="s">
        <v>86</v>
      </c>
      <c r="AW59" s="4">
        <v>0</v>
      </c>
      <c r="AX59" s="4"/>
      <c r="AY59" s="4"/>
      <c r="AZ59" s="24"/>
      <c r="BA59" s="23"/>
      <c r="BB59" s="23"/>
      <c r="BC59" s="23"/>
      <c r="BD59" s="4"/>
      <c r="BE59" s="4"/>
      <c r="BF59" s="4"/>
      <c r="BG59" s="4"/>
      <c r="BH59" s="4"/>
      <c r="BI59" s="23"/>
      <c r="BJ59" s="23"/>
      <c r="BK59" s="23"/>
      <c r="BL59" s="4"/>
      <c r="BM59" s="4"/>
      <c r="BN59" s="4"/>
      <c r="BO59" s="4"/>
      <c r="BP59" s="4"/>
      <c r="BQ59" s="23"/>
      <c r="BR59" s="23"/>
      <c r="BS59" s="23"/>
      <c r="BT59" s="4"/>
      <c r="BU59" s="4"/>
      <c r="BV59" s="4"/>
      <c r="BW59" s="4"/>
      <c r="BX59" s="4"/>
      <c r="BY59" s="23"/>
      <c r="BZ59" s="23"/>
      <c r="CA59" s="23"/>
      <c r="CB59" s="4"/>
      <c r="CC59" s="4"/>
      <c r="CD59" s="4"/>
      <c r="CE59" s="4"/>
      <c r="CF59" s="4"/>
      <c r="CG59" s="23"/>
      <c r="CH59" s="23"/>
      <c r="CI59" s="23"/>
      <c r="CJ59" s="4"/>
      <c r="CK59" s="4"/>
      <c r="CL59" s="4"/>
      <c r="CM59" s="4"/>
      <c r="CN59" s="4"/>
      <c r="CO59" s="4"/>
      <c r="CP59" s="4"/>
    </row>
    <row r="60" spans="1:94" ht="15.75" customHeight="1">
      <c r="A60" s="1">
        <v>59</v>
      </c>
      <c r="B60" s="2">
        <v>20743</v>
      </c>
      <c r="C60" s="10">
        <v>45377</v>
      </c>
      <c r="D60" s="4">
        <v>5</v>
      </c>
      <c r="E60" s="4">
        <v>536</v>
      </c>
      <c r="F60" s="23">
        <v>1.17</v>
      </c>
      <c r="G60" s="23">
        <v>7.19</v>
      </c>
      <c r="H60" s="23">
        <v>3.39</v>
      </c>
      <c r="I60" s="23">
        <v>19.91</v>
      </c>
      <c r="J60" s="4" t="s">
        <v>87</v>
      </c>
      <c r="K60" s="4">
        <v>44326</v>
      </c>
      <c r="L60" s="4">
        <v>144</v>
      </c>
      <c r="M60" s="23">
        <v>1.3</v>
      </c>
      <c r="N60" s="23">
        <v>7.08</v>
      </c>
      <c r="O60" s="23">
        <v>3.33</v>
      </c>
      <c r="P60" s="4" t="s">
        <v>86</v>
      </c>
      <c r="Q60" s="4">
        <v>0</v>
      </c>
      <c r="R60" s="4"/>
      <c r="S60" s="4">
        <v>43758</v>
      </c>
      <c r="T60" s="4">
        <v>130</v>
      </c>
      <c r="U60" s="23">
        <v>0.97</v>
      </c>
      <c r="V60" s="23">
        <v>7.35</v>
      </c>
      <c r="W60" s="23">
        <v>2.68</v>
      </c>
      <c r="X60" s="4" t="s">
        <v>86</v>
      </c>
      <c r="Y60" s="4">
        <v>0</v>
      </c>
      <c r="Z60" s="4"/>
      <c r="AA60" s="4">
        <v>44319</v>
      </c>
      <c r="AB60" s="4">
        <v>70</v>
      </c>
      <c r="AC60" s="23">
        <v>1.1399999999999999</v>
      </c>
      <c r="AD60" s="23">
        <v>6.4</v>
      </c>
      <c r="AE60" s="23">
        <v>6.48</v>
      </c>
      <c r="AF60" s="4" t="s">
        <v>86</v>
      </c>
      <c r="AG60" s="4">
        <v>0</v>
      </c>
      <c r="AH60" s="4"/>
      <c r="AI60" s="4">
        <v>44229</v>
      </c>
      <c r="AJ60" s="4">
        <v>52</v>
      </c>
      <c r="AK60" s="23">
        <v>0.99</v>
      </c>
      <c r="AL60" s="23">
        <v>7.17</v>
      </c>
      <c r="AM60" s="23">
        <v>2.87</v>
      </c>
      <c r="AN60" s="4" t="s">
        <v>86</v>
      </c>
      <c r="AO60" s="4">
        <v>0</v>
      </c>
      <c r="AP60" s="4"/>
      <c r="AQ60" s="4">
        <v>44329</v>
      </c>
      <c r="AR60" s="4">
        <v>140</v>
      </c>
      <c r="AS60" s="23">
        <v>1.1200000000000001</v>
      </c>
      <c r="AT60" s="23">
        <v>7.48</v>
      </c>
      <c r="AU60" s="23">
        <v>2.84</v>
      </c>
      <c r="AV60" s="4" t="s">
        <v>86</v>
      </c>
      <c r="AW60" s="4">
        <v>0</v>
      </c>
      <c r="AX60" s="4"/>
      <c r="AY60" s="4"/>
      <c r="AZ60" s="24"/>
      <c r="BA60" s="23"/>
      <c r="BB60" s="23"/>
      <c r="BC60" s="23"/>
      <c r="BD60" s="4"/>
      <c r="BE60" s="4"/>
      <c r="BF60" s="4"/>
      <c r="BG60" s="4"/>
      <c r="BH60" s="4"/>
      <c r="BI60" s="23"/>
      <c r="BJ60" s="23"/>
      <c r="BK60" s="23"/>
      <c r="BL60" s="4"/>
      <c r="BM60" s="4"/>
      <c r="BN60" s="4"/>
      <c r="BO60" s="4"/>
      <c r="BP60" s="4"/>
      <c r="BQ60" s="23"/>
      <c r="BR60" s="23"/>
      <c r="BS60" s="23"/>
      <c r="BT60" s="4"/>
      <c r="BU60" s="4"/>
      <c r="BV60" s="4"/>
      <c r="BW60" s="4"/>
      <c r="BX60" s="4"/>
      <c r="BY60" s="23"/>
      <c r="BZ60" s="23"/>
      <c r="CA60" s="23"/>
      <c r="CB60" s="4"/>
      <c r="CC60" s="4"/>
      <c r="CD60" s="4"/>
      <c r="CE60" s="4"/>
      <c r="CF60" s="4"/>
      <c r="CG60" s="23"/>
      <c r="CH60" s="23"/>
      <c r="CI60" s="23"/>
      <c r="CJ60" s="4"/>
      <c r="CK60" s="4"/>
      <c r="CL60" s="4"/>
      <c r="CM60" s="4"/>
      <c r="CN60" s="4"/>
      <c r="CO60" s="4"/>
      <c r="CP60" s="4"/>
    </row>
    <row r="61" spans="1:94" ht="15.75" customHeight="1">
      <c r="A61" s="1">
        <v>60</v>
      </c>
      <c r="B61" s="2">
        <v>20744</v>
      </c>
      <c r="C61" s="10">
        <v>45377</v>
      </c>
      <c r="D61" s="4">
        <v>5</v>
      </c>
      <c r="E61" s="4">
        <v>496</v>
      </c>
      <c r="F61" s="23">
        <v>1.18</v>
      </c>
      <c r="G61" s="23">
        <v>7.29</v>
      </c>
      <c r="H61" s="23">
        <v>3.35</v>
      </c>
      <c r="I61" s="23">
        <v>19.940000000000001</v>
      </c>
      <c r="J61" s="4" t="s">
        <v>87</v>
      </c>
      <c r="K61" s="4">
        <v>43836</v>
      </c>
      <c r="L61" s="4">
        <v>122</v>
      </c>
      <c r="M61" s="23">
        <v>1.22</v>
      </c>
      <c r="N61" s="23">
        <v>7.19</v>
      </c>
      <c r="O61" s="23">
        <v>3.57</v>
      </c>
      <c r="P61" s="4" t="s">
        <v>86</v>
      </c>
      <c r="Q61" s="4">
        <v>0</v>
      </c>
      <c r="R61" s="4"/>
      <c r="S61" s="4">
        <v>44051</v>
      </c>
      <c r="T61" s="4">
        <v>72</v>
      </c>
      <c r="U61" s="23">
        <v>1.02</v>
      </c>
      <c r="V61" s="23">
        <v>7.16</v>
      </c>
      <c r="W61" s="23">
        <v>3.15</v>
      </c>
      <c r="X61" s="4" t="s">
        <v>86</v>
      </c>
      <c r="Y61" s="4">
        <v>0</v>
      </c>
      <c r="Z61" s="4"/>
      <c r="AA61" s="4">
        <v>44329</v>
      </c>
      <c r="AB61" s="4">
        <v>139</v>
      </c>
      <c r="AC61" s="23">
        <v>1.0900000000000001</v>
      </c>
      <c r="AD61" s="23">
        <v>7.4</v>
      </c>
      <c r="AE61" s="23">
        <v>2.78</v>
      </c>
      <c r="AF61" s="4" t="s">
        <v>86</v>
      </c>
      <c r="AG61" s="4">
        <v>0</v>
      </c>
      <c r="AH61" s="4"/>
      <c r="AI61" s="4">
        <v>44176</v>
      </c>
      <c r="AJ61" s="4">
        <v>38</v>
      </c>
      <c r="AK61" s="23">
        <v>1.08</v>
      </c>
      <c r="AL61" s="23">
        <v>7.06</v>
      </c>
      <c r="AM61" s="23">
        <v>3.77</v>
      </c>
      <c r="AN61" s="4" t="s">
        <v>86</v>
      </c>
      <c r="AO61" s="4">
        <v>0</v>
      </c>
      <c r="AP61" s="4"/>
      <c r="AQ61" s="4">
        <v>44240</v>
      </c>
      <c r="AR61" s="4">
        <v>126</v>
      </c>
      <c r="AS61" s="23">
        <v>1.18</v>
      </c>
      <c r="AT61" s="23">
        <v>7.21</v>
      </c>
      <c r="AU61" s="23">
        <v>3.91</v>
      </c>
      <c r="AV61" s="4" t="s">
        <v>86</v>
      </c>
      <c r="AW61" s="4">
        <v>0</v>
      </c>
      <c r="AX61" s="4"/>
      <c r="AY61" s="4"/>
      <c r="AZ61" s="24"/>
      <c r="BA61" s="23"/>
      <c r="BB61" s="23"/>
      <c r="BC61" s="23"/>
      <c r="BD61" s="4"/>
      <c r="BE61" s="4"/>
      <c r="BF61" s="4"/>
      <c r="BG61" s="4"/>
      <c r="BH61" s="4"/>
      <c r="BI61" s="23"/>
      <c r="BJ61" s="23"/>
      <c r="BK61" s="23"/>
      <c r="BL61" s="4"/>
      <c r="BM61" s="4"/>
      <c r="BN61" s="4"/>
      <c r="BO61" s="4"/>
      <c r="BP61" s="4"/>
      <c r="BQ61" s="23"/>
      <c r="BR61" s="23"/>
      <c r="BS61" s="23"/>
      <c r="BT61" s="4"/>
      <c r="BU61" s="4"/>
      <c r="BV61" s="4"/>
      <c r="BW61" s="4"/>
      <c r="BX61" s="4"/>
      <c r="BY61" s="23"/>
      <c r="BZ61" s="23"/>
      <c r="CA61" s="23"/>
      <c r="CB61" s="4"/>
      <c r="CC61" s="4"/>
      <c r="CD61" s="4"/>
      <c r="CE61" s="4"/>
      <c r="CF61" s="4"/>
      <c r="CG61" s="23"/>
      <c r="CH61" s="23"/>
      <c r="CI61" s="23"/>
      <c r="CJ61" s="4"/>
      <c r="CK61" s="4"/>
      <c r="CL61" s="4"/>
      <c r="CM61" s="4"/>
      <c r="CN61" s="4"/>
      <c r="CO61" s="4"/>
      <c r="CP61" s="4"/>
    </row>
    <row r="62" spans="1:94" ht="15.75" customHeight="1">
      <c r="A62" s="1">
        <v>61</v>
      </c>
      <c r="B62" s="2">
        <v>20749</v>
      </c>
      <c r="C62" s="10">
        <v>45378</v>
      </c>
      <c r="D62" s="4">
        <v>5</v>
      </c>
      <c r="E62" s="4">
        <v>451</v>
      </c>
      <c r="F62" s="23">
        <v>1.21</v>
      </c>
      <c r="G62" s="23">
        <v>7.05</v>
      </c>
      <c r="H62" s="23">
        <v>5.0199999999999996</v>
      </c>
      <c r="I62" s="23">
        <v>24.34</v>
      </c>
      <c r="J62" s="4" t="s">
        <v>87</v>
      </c>
      <c r="K62" s="4">
        <v>44243</v>
      </c>
      <c r="L62" s="4">
        <v>81</v>
      </c>
      <c r="M62" s="23">
        <v>1.23</v>
      </c>
      <c r="N62" s="23">
        <v>7.31</v>
      </c>
      <c r="O62" s="23">
        <v>6.46</v>
      </c>
      <c r="P62" s="4" t="s">
        <v>86</v>
      </c>
      <c r="Q62" s="4">
        <v>0</v>
      </c>
      <c r="R62" s="4"/>
      <c r="S62" s="4">
        <v>44426</v>
      </c>
      <c r="T62" s="4">
        <v>90</v>
      </c>
      <c r="U62" s="23">
        <v>1.19</v>
      </c>
      <c r="V62" s="23">
        <v>7.22</v>
      </c>
      <c r="W62" s="23">
        <v>3.8</v>
      </c>
      <c r="X62" s="4" t="s">
        <v>86</v>
      </c>
      <c r="Y62" s="4">
        <v>0</v>
      </c>
      <c r="Z62" s="4"/>
      <c r="AA62" s="4">
        <v>44322</v>
      </c>
      <c r="AB62" s="4">
        <v>142</v>
      </c>
      <c r="AC62" s="23">
        <v>1.1599999999999999</v>
      </c>
      <c r="AD62" s="23">
        <v>7.2</v>
      </c>
      <c r="AE62" s="23">
        <v>3.92</v>
      </c>
      <c r="AF62" s="4" t="s">
        <v>86</v>
      </c>
      <c r="AG62" s="4">
        <v>0</v>
      </c>
      <c r="AH62" s="4"/>
      <c r="AI62" s="4">
        <v>44243</v>
      </c>
      <c r="AJ62" s="4">
        <v>67</v>
      </c>
      <c r="AK62" s="23">
        <v>1.22</v>
      </c>
      <c r="AL62" s="23">
        <v>7.02</v>
      </c>
      <c r="AM62" s="23">
        <v>5.83</v>
      </c>
      <c r="AN62" s="4" t="s">
        <v>86</v>
      </c>
      <c r="AO62" s="4">
        <v>0</v>
      </c>
      <c r="AP62" s="4"/>
      <c r="AQ62" s="4">
        <v>44319</v>
      </c>
      <c r="AR62" s="4">
        <v>71</v>
      </c>
      <c r="AS62" s="23">
        <v>1.24</v>
      </c>
      <c r="AT62" s="23">
        <v>6.29</v>
      </c>
      <c r="AU62" s="23">
        <v>6.77</v>
      </c>
      <c r="AV62" s="4" t="s">
        <v>86</v>
      </c>
      <c r="AW62" s="4">
        <v>0</v>
      </c>
      <c r="AX62" s="4"/>
      <c r="AY62" s="4"/>
      <c r="AZ62" s="24"/>
      <c r="BA62" s="23"/>
      <c r="BB62" s="23"/>
      <c r="BC62" s="23"/>
      <c r="BD62" s="4"/>
      <c r="BE62" s="4"/>
      <c r="BF62" s="4"/>
      <c r="BG62" s="4"/>
      <c r="BH62" s="4"/>
      <c r="BI62" s="23"/>
      <c r="BJ62" s="23"/>
      <c r="BK62" s="23"/>
      <c r="BL62" s="4"/>
      <c r="BM62" s="4"/>
      <c r="BN62" s="4"/>
      <c r="BO62" s="4"/>
      <c r="BP62" s="4"/>
      <c r="BQ62" s="23"/>
      <c r="BR62" s="23"/>
      <c r="BS62" s="23"/>
      <c r="BT62" s="4"/>
      <c r="BU62" s="4"/>
      <c r="BV62" s="4"/>
      <c r="BW62" s="4"/>
      <c r="BX62" s="4"/>
      <c r="BY62" s="23"/>
      <c r="BZ62" s="23"/>
      <c r="CA62" s="23"/>
      <c r="CB62" s="4"/>
      <c r="CC62" s="4"/>
      <c r="CD62" s="4"/>
      <c r="CE62" s="4"/>
      <c r="CF62" s="4"/>
      <c r="CG62" s="23"/>
      <c r="CH62" s="23"/>
      <c r="CI62" s="23"/>
      <c r="CJ62" s="4"/>
      <c r="CK62" s="4"/>
      <c r="CL62" s="4"/>
      <c r="CM62" s="4"/>
      <c r="CN62" s="4"/>
      <c r="CO62" s="4"/>
      <c r="CP62" s="4"/>
    </row>
    <row r="63" spans="1:94" ht="15.75" customHeight="1">
      <c r="A63" s="1">
        <v>62</v>
      </c>
      <c r="B63" s="2">
        <v>20750</v>
      </c>
      <c r="C63" s="10">
        <v>45378</v>
      </c>
      <c r="D63" s="4">
        <v>4</v>
      </c>
      <c r="E63" s="4">
        <v>504</v>
      </c>
      <c r="F63" s="23">
        <v>1.1399999999999999</v>
      </c>
      <c r="G63" s="23">
        <v>7.06</v>
      </c>
      <c r="H63" s="23">
        <v>3.66</v>
      </c>
      <c r="I63" s="23">
        <v>20.45</v>
      </c>
      <c r="J63" s="4" t="s">
        <v>87</v>
      </c>
      <c r="K63" s="4">
        <v>44338</v>
      </c>
      <c r="L63" s="4">
        <v>138</v>
      </c>
      <c r="M63" s="23">
        <v>1.34</v>
      </c>
      <c r="N63" s="23">
        <v>7.04</v>
      </c>
      <c r="O63" s="23">
        <v>4.03</v>
      </c>
      <c r="P63" s="4" t="s">
        <v>86</v>
      </c>
      <c r="Q63" s="4">
        <v>0</v>
      </c>
      <c r="R63" s="4"/>
      <c r="S63" s="4">
        <v>44341</v>
      </c>
      <c r="T63" s="4">
        <v>124</v>
      </c>
      <c r="U63" s="23">
        <v>0.84</v>
      </c>
      <c r="V63" s="23">
        <v>7.35</v>
      </c>
      <c r="W63" s="23">
        <v>3.06</v>
      </c>
      <c r="X63" s="4" t="s">
        <v>86</v>
      </c>
      <c r="Y63" s="4">
        <v>0</v>
      </c>
      <c r="Z63" s="4"/>
      <c r="AA63" s="4">
        <v>44407</v>
      </c>
      <c r="AB63" s="4">
        <v>137</v>
      </c>
      <c r="AC63" s="23">
        <v>1.06</v>
      </c>
      <c r="AD63" s="23">
        <v>7.15</v>
      </c>
      <c r="AE63" s="23">
        <v>3.69</v>
      </c>
      <c r="AF63" s="4" t="s">
        <v>86</v>
      </c>
      <c r="AG63" s="4">
        <v>0</v>
      </c>
      <c r="AH63" s="4"/>
      <c r="AI63" s="4">
        <v>44317</v>
      </c>
      <c r="AJ63" s="4">
        <v>106</v>
      </c>
      <c r="AK63" s="23">
        <v>1.1499999999999999</v>
      </c>
      <c r="AL63" s="23">
        <v>6.63</v>
      </c>
      <c r="AM63" s="23">
        <v>3.92</v>
      </c>
      <c r="AN63" s="4" t="s">
        <v>86</v>
      </c>
      <c r="AO63" s="4">
        <v>0</v>
      </c>
      <c r="AP63" s="4"/>
      <c r="AQ63" s="4"/>
      <c r="AR63" s="4"/>
      <c r="AS63" s="23"/>
      <c r="AT63" s="23"/>
      <c r="AU63" s="23"/>
      <c r="AV63" s="4"/>
      <c r="AW63" s="4"/>
      <c r="AX63" s="4"/>
      <c r="AY63" s="4"/>
      <c r="AZ63" s="24"/>
      <c r="BA63" s="23"/>
      <c r="BB63" s="23"/>
      <c r="BC63" s="23"/>
      <c r="BD63" s="4"/>
      <c r="BE63" s="4"/>
      <c r="BF63" s="4"/>
      <c r="BG63" s="4"/>
      <c r="BH63" s="4"/>
      <c r="BI63" s="23"/>
      <c r="BJ63" s="23"/>
      <c r="BK63" s="23"/>
      <c r="BL63" s="4"/>
      <c r="BM63" s="4"/>
      <c r="BN63" s="4"/>
      <c r="BO63" s="4"/>
      <c r="BP63" s="4"/>
      <c r="BQ63" s="23"/>
      <c r="BR63" s="23"/>
      <c r="BS63" s="23"/>
      <c r="BT63" s="4"/>
      <c r="BU63" s="4"/>
      <c r="BV63" s="4"/>
      <c r="BW63" s="4"/>
      <c r="BX63" s="4"/>
      <c r="BY63" s="23"/>
      <c r="BZ63" s="23"/>
      <c r="CA63" s="23"/>
      <c r="CB63" s="4"/>
      <c r="CC63" s="4"/>
      <c r="CD63" s="4"/>
      <c r="CE63" s="4"/>
      <c r="CF63" s="4"/>
      <c r="CG63" s="23"/>
      <c r="CH63" s="23"/>
      <c r="CI63" s="23"/>
      <c r="CJ63" s="4"/>
      <c r="CK63" s="4"/>
      <c r="CL63" s="4"/>
      <c r="CM63" s="4"/>
      <c r="CN63" s="4"/>
      <c r="CO63" s="4"/>
      <c r="CP63" s="4"/>
    </row>
    <row r="64" spans="1:94" ht="15.75" customHeight="1">
      <c r="A64" s="1">
        <v>63</v>
      </c>
      <c r="B64" s="2">
        <v>20751</v>
      </c>
      <c r="C64" s="10">
        <v>45378</v>
      </c>
      <c r="D64" s="4">
        <v>5</v>
      </c>
      <c r="E64" s="4">
        <v>574</v>
      </c>
      <c r="F64" s="23">
        <v>1.17</v>
      </c>
      <c r="G64" s="23">
        <v>7.28</v>
      </c>
      <c r="H64" s="23">
        <v>3.35</v>
      </c>
      <c r="I64" s="23">
        <v>19.91</v>
      </c>
      <c r="J64" s="4" t="s">
        <v>87</v>
      </c>
      <c r="K64" s="4">
        <v>44405</v>
      </c>
      <c r="L64" s="4">
        <v>139</v>
      </c>
      <c r="M64" s="23">
        <v>1.22</v>
      </c>
      <c r="N64" s="23">
        <v>7.17</v>
      </c>
      <c r="O64" s="23">
        <v>3.04</v>
      </c>
      <c r="P64" s="4" t="s">
        <v>86</v>
      </c>
      <c r="Q64" s="4">
        <v>0</v>
      </c>
      <c r="R64" s="4"/>
      <c r="S64" s="4">
        <v>44407</v>
      </c>
      <c r="T64" s="4">
        <v>122</v>
      </c>
      <c r="U64" s="23">
        <v>1.1000000000000001</v>
      </c>
      <c r="V64" s="23">
        <v>7.19</v>
      </c>
      <c r="W64" s="23">
        <v>4.05</v>
      </c>
      <c r="X64" s="4" t="s">
        <v>86</v>
      </c>
      <c r="Y64" s="4">
        <v>0</v>
      </c>
      <c r="Z64" s="4"/>
      <c r="AA64" s="4">
        <v>44090</v>
      </c>
      <c r="AB64" s="4">
        <v>39</v>
      </c>
      <c r="AC64" s="23">
        <v>1.1000000000000001</v>
      </c>
      <c r="AD64" s="23">
        <v>7.16</v>
      </c>
      <c r="AE64" s="23">
        <v>3.3</v>
      </c>
      <c r="AF64" s="4" t="s">
        <v>86</v>
      </c>
      <c r="AG64" s="4">
        <v>0</v>
      </c>
      <c r="AH64" s="4"/>
      <c r="AI64" s="4">
        <v>44329</v>
      </c>
      <c r="AJ64" s="4">
        <v>137</v>
      </c>
      <c r="AK64" s="23">
        <v>1.1499999999999999</v>
      </c>
      <c r="AL64" s="23">
        <v>7.53</v>
      </c>
      <c r="AM64" s="23">
        <v>2.71</v>
      </c>
      <c r="AN64" s="4" t="s">
        <v>86</v>
      </c>
      <c r="AO64" s="4">
        <v>0</v>
      </c>
      <c r="AP64" s="4"/>
      <c r="AQ64" s="4">
        <v>43954</v>
      </c>
      <c r="AR64" s="4">
        <v>138</v>
      </c>
      <c r="AS64" s="23">
        <v>1.1000000000000001</v>
      </c>
      <c r="AT64" s="23">
        <v>7.19</v>
      </c>
      <c r="AU64" s="23">
        <v>3.96</v>
      </c>
      <c r="AV64" s="4" t="s">
        <v>86</v>
      </c>
      <c r="AW64" s="4">
        <v>0</v>
      </c>
      <c r="AX64" s="4"/>
      <c r="AY64" s="4"/>
      <c r="AZ64" s="24"/>
      <c r="BA64" s="23"/>
      <c r="BB64" s="23"/>
      <c r="BC64" s="23"/>
      <c r="BD64" s="4"/>
      <c r="BE64" s="4"/>
      <c r="BF64" s="4"/>
      <c r="BG64" s="4"/>
      <c r="BH64" s="4"/>
      <c r="BI64" s="23"/>
      <c r="BJ64" s="23"/>
      <c r="BK64" s="23"/>
      <c r="BL64" s="4"/>
      <c r="BM64" s="4"/>
      <c r="BN64" s="4"/>
      <c r="BO64" s="4"/>
      <c r="BP64" s="4"/>
      <c r="BQ64" s="23"/>
      <c r="BR64" s="23"/>
      <c r="BS64" s="23"/>
      <c r="BT64" s="4"/>
      <c r="BU64" s="4"/>
      <c r="BV64" s="4"/>
      <c r="BW64" s="4"/>
      <c r="BX64" s="4"/>
      <c r="BY64" s="23"/>
      <c r="BZ64" s="23"/>
      <c r="CA64" s="23"/>
      <c r="CB64" s="4"/>
      <c r="CC64" s="4"/>
      <c r="CD64" s="4"/>
      <c r="CE64" s="4"/>
      <c r="CF64" s="4"/>
      <c r="CG64" s="23"/>
      <c r="CH64" s="23"/>
      <c r="CI64" s="23"/>
      <c r="CJ64" s="4"/>
      <c r="CK64" s="4"/>
      <c r="CL64" s="4"/>
      <c r="CM64" s="4"/>
      <c r="CN64" s="4"/>
      <c r="CO64" s="4"/>
      <c r="CP64" s="4"/>
    </row>
    <row r="65" spans="1:94" ht="15.75" customHeight="1">
      <c r="A65" s="1">
        <v>64</v>
      </c>
      <c r="B65" s="2">
        <v>20752</v>
      </c>
      <c r="C65" s="10">
        <v>45378</v>
      </c>
      <c r="D65" s="4">
        <v>4</v>
      </c>
      <c r="E65" s="4">
        <v>474</v>
      </c>
      <c r="F65" s="23">
        <v>1.08</v>
      </c>
      <c r="G65" s="23">
        <v>7.15</v>
      </c>
      <c r="H65" s="23">
        <v>3.59</v>
      </c>
      <c r="I65" s="23">
        <v>20.27</v>
      </c>
      <c r="J65" s="4" t="s">
        <v>83</v>
      </c>
      <c r="K65" s="4">
        <v>43837</v>
      </c>
      <c r="L65" s="4">
        <v>123</v>
      </c>
      <c r="M65" s="23">
        <v>1.29</v>
      </c>
      <c r="N65" s="23">
        <v>7.01</v>
      </c>
      <c r="O65" s="23">
        <v>4.16</v>
      </c>
      <c r="P65" s="4" t="s">
        <v>84</v>
      </c>
      <c r="Q65" s="4">
        <v>0</v>
      </c>
      <c r="R65" s="4"/>
      <c r="S65" s="4">
        <v>44229</v>
      </c>
      <c r="T65" s="4">
        <v>139</v>
      </c>
      <c r="U65" s="23">
        <v>0.97</v>
      </c>
      <c r="V65" s="23">
        <v>7.06</v>
      </c>
      <c r="W65" s="23">
        <v>3.19</v>
      </c>
      <c r="X65" s="4" t="s">
        <v>84</v>
      </c>
      <c r="Y65" s="4">
        <v>0</v>
      </c>
      <c r="Z65" s="4"/>
      <c r="AA65" s="4">
        <v>44219</v>
      </c>
      <c r="AB65" s="4">
        <v>115</v>
      </c>
      <c r="AC65" s="23">
        <v>1.02</v>
      </c>
      <c r="AD65" s="23">
        <v>7.19</v>
      </c>
      <c r="AE65" s="23">
        <v>3.76</v>
      </c>
      <c r="AF65" s="4" t="s">
        <v>84</v>
      </c>
      <c r="AG65" s="4">
        <v>0</v>
      </c>
      <c r="AH65" s="4"/>
      <c r="AI65" s="4">
        <v>44046</v>
      </c>
      <c r="AJ65" s="4">
        <v>98</v>
      </c>
      <c r="AK65" s="23">
        <v>1.05</v>
      </c>
      <c r="AL65" s="23">
        <v>7.31</v>
      </c>
      <c r="AM65" s="23">
        <v>3.22</v>
      </c>
      <c r="AN65" s="4" t="s">
        <v>84</v>
      </c>
      <c r="AO65" s="4">
        <v>0</v>
      </c>
      <c r="AP65" s="4"/>
      <c r="AQ65" s="4"/>
      <c r="AR65" s="4"/>
      <c r="AS65" s="23"/>
      <c r="AT65" s="23"/>
      <c r="AU65" s="23"/>
      <c r="AV65" s="4"/>
      <c r="AW65" s="4"/>
      <c r="AX65" s="4"/>
      <c r="AY65" s="4"/>
      <c r="AZ65" s="24"/>
      <c r="BA65" s="23"/>
      <c r="BB65" s="23"/>
      <c r="BC65" s="23"/>
      <c r="BD65" s="4"/>
      <c r="BE65" s="4"/>
      <c r="BF65" s="4"/>
      <c r="BG65" s="4"/>
      <c r="BH65" s="4"/>
      <c r="BI65" s="23"/>
      <c r="BJ65" s="23"/>
      <c r="BK65" s="23"/>
      <c r="BL65" s="4"/>
      <c r="BM65" s="4"/>
      <c r="BN65" s="4"/>
      <c r="BO65" s="4"/>
      <c r="BP65" s="4"/>
      <c r="BQ65" s="23"/>
      <c r="BR65" s="23"/>
      <c r="BS65" s="23"/>
      <c r="BT65" s="4"/>
      <c r="BU65" s="4"/>
      <c r="BV65" s="4"/>
      <c r="BW65" s="4"/>
      <c r="BX65" s="4"/>
      <c r="BY65" s="23"/>
      <c r="BZ65" s="23"/>
      <c r="CA65" s="23"/>
      <c r="CB65" s="4"/>
      <c r="CC65" s="4"/>
      <c r="CD65" s="4"/>
      <c r="CE65" s="4"/>
      <c r="CF65" s="4"/>
      <c r="CG65" s="23"/>
      <c r="CH65" s="23"/>
      <c r="CI65" s="23"/>
      <c r="CJ65" s="4"/>
      <c r="CK65" s="4"/>
      <c r="CL65" s="4"/>
      <c r="CM65" s="4"/>
      <c r="CN65" s="4"/>
      <c r="CO65" s="4"/>
      <c r="CP65" s="4"/>
    </row>
    <row r="66" spans="1:94" ht="15.75" customHeight="1">
      <c r="A66" s="1">
        <v>65</v>
      </c>
      <c r="B66" s="2">
        <v>20753</v>
      </c>
      <c r="C66" s="10">
        <v>45378</v>
      </c>
      <c r="D66" s="4">
        <v>4</v>
      </c>
      <c r="E66" s="4">
        <v>458</v>
      </c>
      <c r="F66" s="23">
        <v>1.07</v>
      </c>
      <c r="G66" s="23">
        <v>7.09</v>
      </c>
      <c r="H66" s="23">
        <v>3.7</v>
      </c>
      <c r="I66" s="23">
        <v>20.48</v>
      </c>
      <c r="J66" s="4" t="s">
        <v>83</v>
      </c>
      <c r="K66" s="4">
        <v>43371</v>
      </c>
      <c r="L66" s="4">
        <v>134</v>
      </c>
      <c r="M66" s="23">
        <v>1.1399999999999999</v>
      </c>
      <c r="N66" s="23">
        <v>7.12</v>
      </c>
      <c r="O66" s="23">
        <v>3.66</v>
      </c>
      <c r="P66" s="4" t="s">
        <v>84</v>
      </c>
      <c r="Q66" s="4">
        <v>0</v>
      </c>
      <c r="R66" s="4"/>
      <c r="S66" s="4">
        <v>44229</v>
      </c>
      <c r="T66" s="4">
        <v>136</v>
      </c>
      <c r="U66" s="23">
        <v>1.02</v>
      </c>
      <c r="V66" s="23">
        <v>7.04</v>
      </c>
      <c r="W66" s="23">
        <v>2.98</v>
      </c>
      <c r="X66" s="4" t="s">
        <v>84</v>
      </c>
      <c r="Y66" s="4">
        <v>0</v>
      </c>
      <c r="Z66" s="4"/>
      <c r="AA66" s="4">
        <v>43954</v>
      </c>
      <c r="AB66" s="4">
        <v>139</v>
      </c>
      <c r="AC66" s="23">
        <v>1.05</v>
      </c>
      <c r="AD66" s="23">
        <v>7.1</v>
      </c>
      <c r="AE66" s="23">
        <v>4.43</v>
      </c>
      <c r="AF66" s="4" t="s">
        <v>84</v>
      </c>
      <c r="AG66" s="4">
        <v>0</v>
      </c>
      <c r="AH66" s="4"/>
      <c r="AI66" s="4">
        <v>44354</v>
      </c>
      <c r="AJ66" s="4">
        <v>48</v>
      </c>
      <c r="AK66" s="23">
        <v>1.08</v>
      </c>
      <c r="AL66" s="23">
        <v>6.8</v>
      </c>
      <c r="AM66" s="23">
        <v>4.2300000000000004</v>
      </c>
      <c r="AN66" s="4" t="s">
        <v>84</v>
      </c>
      <c r="AO66" s="4">
        <v>0</v>
      </c>
      <c r="AP66" s="4"/>
      <c r="AQ66" s="4"/>
      <c r="AR66" s="4"/>
      <c r="AS66" s="23"/>
      <c r="AT66" s="23"/>
      <c r="AU66" s="23"/>
      <c r="AV66" s="4"/>
      <c r="AW66" s="4"/>
      <c r="AX66" s="4"/>
      <c r="AY66" s="4"/>
      <c r="AZ66" s="24"/>
      <c r="BA66" s="23"/>
      <c r="BB66" s="23"/>
      <c r="BC66" s="23"/>
      <c r="BD66" s="4"/>
      <c r="BE66" s="4"/>
      <c r="BF66" s="4"/>
      <c r="BG66" s="4"/>
      <c r="BH66" s="4"/>
      <c r="BI66" s="23"/>
      <c r="BJ66" s="23"/>
      <c r="BK66" s="23"/>
      <c r="BL66" s="4"/>
      <c r="BM66" s="4"/>
      <c r="BN66" s="4"/>
      <c r="BO66" s="4"/>
      <c r="BP66" s="4"/>
      <c r="BQ66" s="23"/>
      <c r="BR66" s="23"/>
      <c r="BS66" s="23"/>
      <c r="BT66" s="4"/>
      <c r="BU66" s="4"/>
      <c r="BV66" s="4"/>
      <c r="BW66" s="4"/>
      <c r="BX66" s="4"/>
      <c r="BY66" s="23"/>
      <c r="BZ66" s="23"/>
      <c r="CA66" s="23"/>
      <c r="CB66" s="4"/>
      <c r="CC66" s="4"/>
      <c r="CD66" s="4"/>
      <c r="CE66" s="4"/>
      <c r="CF66" s="4"/>
      <c r="CG66" s="23"/>
      <c r="CH66" s="23"/>
      <c r="CI66" s="23"/>
      <c r="CJ66" s="4"/>
      <c r="CK66" s="4"/>
      <c r="CL66" s="4"/>
      <c r="CM66" s="4"/>
      <c r="CN66" s="4"/>
      <c r="CO66" s="4"/>
      <c r="CP66" s="4"/>
    </row>
    <row r="67" spans="1:94" ht="15.75" customHeight="1">
      <c r="A67" s="1">
        <v>66</v>
      </c>
      <c r="B67" s="2">
        <v>20754</v>
      </c>
      <c r="C67" s="10">
        <v>45378</v>
      </c>
      <c r="D67" s="4">
        <v>4</v>
      </c>
      <c r="E67" s="4">
        <v>520</v>
      </c>
      <c r="F67" s="23">
        <v>1.0900000000000001</v>
      </c>
      <c r="G67" s="23">
        <v>6.98</v>
      </c>
      <c r="H67" s="23">
        <v>3.67</v>
      </c>
      <c r="I67" s="23">
        <v>20.3</v>
      </c>
      <c r="J67" s="4" t="s">
        <v>83</v>
      </c>
      <c r="K67" s="4">
        <v>43837</v>
      </c>
      <c r="L67" s="4">
        <v>139</v>
      </c>
      <c r="M67" s="23">
        <v>1.19</v>
      </c>
      <c r="N67" s="23">
        <v>7.02</v>
      </c>
      <c r="O67" s="23">
        <v>3.85</v>
      </c>
      <c r="P67" s="4" t="s">
        <v>84</v>
      </c>
      <c r="Q67" s="4">
        <v>0</v>
      </c>
      <c r="R67" s="4"/>
      <c r="S67" s="4">
        <v>44356</v>
      </c>
      <c r="T67" s="4">
        <v>146</v>
      </c>
      <c r="U67" s="23">
        <v>1.02</v>
      </c>
      <c r="V67" s="23">
        <v>6.81</v>
      </c>
      <c r="W67" s="23">
        <v>3.8</v>
      </c>
      <c r="X67" s="4" t="s">
        <v>84</v>
      </c>
      <c r="Y67" s="4">
        <v>0</v>
      </c>
      <c r="Z67" s="4"/>
      <c r="AA67" s="4">
        <v>44356</v>
      </c>
      <c r="AB67" s="4">
        <v>101</v>
      </c>
      <c r="AC67" s="23">
        <v>1.0900000000000001</v>
      </c>
      <c r="AD67" s="23">
        <v>6.9</v>
      </c>
      <c r="AE67" s="23">
        <v>4.08</v>
      </c>
      <c r="AF67" s="4" t="s">
        <v>84</v>
      </c>
      <c r="AG67" s="4">
        <v>0</v>
      </c>
      <c r="AH67" s="4"/>
      <c r="AI67" s="4">
        <v>44349</v>
      </c>
      <c r="AJ67" s="4">
        <v>134</v>
      </c>
      <c r="AK67" s="23">
        <v>0.99</v>
      </c>
      <c r="AL67" s="23">
        <v>7.07</v>
      </c>
      <c r="AM67" s="23">
        <v>3.37</v>
      </c>
      <c r="AN67" s="4" t="s">
        <v>84</v>
      </c>
      <c r="AO67" s="4">
        <v>0</v>
      </c>
      <c r="AP67" s="4"/>
      <c r="AQ67" s="4"/>
      <c r="AR67" s="4"/>
      <c r="AS67" s="23"/>
      <c r="AT67" s="23"/>
      <c r="AU67" s="23"/>
      <c r="AV67" s="4"/>
      <c r="AW67" s="4"/>
      <c r="AX67" s="4"/>
      <c r="AY67" s="4"/>
      <c r="AZ67" s="24"/>
      <c r="BA67" s="23"/>
      <c r="BB67" s="23"/>
      <c r="BC67" s="23"/>
      <c r="BD67" s="4"/>
      <c r="BE67" s="4"/>
      <c r="BF67" s="4"/>
      <c r="BG67" s="4"/>
      <c r="BH67" s="4"/>
      <c r="BI67" s="23"/>
      <c r="BJ67" s="23"/>
      <c r="BK67" s="23"/>
      <c r="BL67" s="4"/>
      <c r="BM67" s="4"/>
      <c r="BN67" s="4"/>
      <c r="BO67" s="4"/>
      <c r="BP67" s="4"/>
      <c r="BQ67" s="23"/>
      <c r="BR67" s="23"/>
      <c r="BS67" s="23"/>
      <c r="BT67" s="4"/>
      <c r="BU67" s="4"/>
      <c r="BV67" s="4"/>
      <c r="BW67" s="4"/>
      <c r="BX67" s="4"/>
      <c r="BY67" s="23"/>
      <c r="BZ67" s="23"/>
      <c r="CA67" s="23"/>
      <c r="CB67" s="4"/>
      <c r="CC67" s="4"/>
      <c r="CD67" s="4"/>
      <c r="CE67" s="4"/>
      <c r="CF67" s="4"/>
      <c r="CG67" s="23"/>
      <c r="CH67" s="23"/>
      <c r="CI67" s="23"/>
      <c r="CJ67" s="4"/>
      <c r="CK67" s="4"/>
      <c r="CL67" s="4"/>
      <c r="CM67" s="4"/>
      <c r="CN67" s="4"/>
      <c r="CO67" s="4"/>
      <c r="CP67" s="4"/>
    </row>
    <row r="68" spans="1:94" ht="15.75" customHeight="1">
      <c r="A68" s="1">
        <v>67</v>
      </c>
      <c r="B68" s="2">
        <v>20758</v>
      </c>
      <c r="C68" s="10">
        <v>45379</v>
      </c>
      <c r="D68" s="4">
        <v>3</v>
      </c>
      <c r="E68" s="4">
        <v>343</v>
      </c>
      <c r="F68" s="23">
        <v>1.36</v>
      </c>
      <c r="G68" s="23">
        <v>7.05</v>
      </c>
      <c r="H68" s="23">
        <v>4.2300000000000004</v>
      </c>
      <c r="I68" s="23">
        <v>22.4</v>
      </c>
      <c r="J68" s="4" t="s">
        <v>90</v>
      </c>
      <c r="K68" s="4">
        <v>44300</v>
      </c>
      <c r="L68" s="4">
        <v>123</v>
      </c>
      <c r="M68" s="23">
        <v>1.69</v>
      </c>
      <c r="N68" s="23">
        <v>6.95</v>
      </c>
      <c r="O68" s="23">
        <v>4.09</v>
      </c>
      <c r="P68" s="4" t="s">
        <v>86</v>
      </c>
      <c r="Q68" s="4">
        <v>0</v>
      </c>
      <c r="R68" s="4"/>
      <c r="S68" s="4">
        <v>43954</v>
      </c>
      <c r="T68" s="4">
        <v>112</v>
      </c>
      <c r="U68" s="23">
        <v>1.1000000000000001</v>
      </c>
      <c r="V68" s="23">
        <v>7.14</v>
      </c>
      <c r="W68" s="23">
        <v>4.34</v>
      </c>
      <c r="X68" s="4" t="s">
        <v>86</v>
      </c>
      <c r="Y68" s="4">
        <v>0</v>
      </c>
      <c r="Z68" s="4"/>
      <c r="AA68" s="4">
        <v>44240</v>
      </c>
      <c r="AB68" s="4">
        <v>107</v>
      </c>
      <c r="AC68" s="23">
        <v>1.22</v>
      </c>
      <c r="AD68" s="23">
        <v>7.06</v>
      </c>
      <c r="AE68" s="23">
        <v>4.3499999999999996</v>
      </c>
      <c r="AF68" s="4" t="s">
        <v>86</v>
      </c>
      <c r="AG68" s="4">
        <v>0</v>
      </c>
      <c r="AH68" s="4"/>
      <c r="AI68" s="4"/>
      <c r="AJ68" s="4"/>
      <c r="AK68" s="23"/>
      <c r="AL68" s="23"/>
      <c r="AM68" s="23"/>
      <c r="AN68" s="4"/>
      <c r="AO68" s="4"/>
      <c r="AP68" s="4"/>
      <c r="AQ68" s="4"/>
      <c r="AR68" s="4"/>
      <c r="AS68" s="23"/>
      <c r="AT68" s="23"/>
      <c r="AU68" s="23"/>
      <c r="AV68" s="4"/>
      <c r="AW68" s="4"/>
      <c r="AX68" s="4"/>
      <c r="AY68" s="4"/>
      <c r="AZ68" s="24"/>
      <c r="BA68" s="23"/>
      <c r="BB68" s="23"/>
      <c r="BC68" s="23"/>
      <c r="BD68" s="4"/>
      <c r="BE68" s="4"/>
      <c r="BF68" s="4"/>
      <c r="BG68" s="4"/>
      <c r="BH68" s="4"/>
      <c r="BI68" s="23"/>
      <c r="BJ68" s="23"/>
      <c r="BK68" s="23"/>
      <c r="BL68" s="4"/>
      <c r="BM68" s="4"/>
      <c r="BN68" s="4"/>
      <c r="BO68" s="4"/>
      <c r="BP68" s="4"/>
      <c r="BQ68" s="23"/>
      <c r="BR68" s="23"/>
      <c r="BS68" s="23"/>
      <c r="BT68" s="4"/>
      <c r="BU68" s="4"/>
      <c r="BV68" s="4"/>
      <c r="BW68" s="4"/>
      <c r="BX68" s="4"/>
      <c r="BY68" s="23"/>
      <c r="BZ68" s="23"/>
      <c r="CA68" s="23"/>
      <c r="CB68" s="4"/>
      <c r="CC68" s="4"/>
      <c r="CD68" s="4"/>
      <c r="CE68" s="4"/>
      <c r="CF68" s="4"/>
      <c r="CG68" s="23"/>
      <c r="CH68" s="23"/>
      <c r="CI68" s="23"/>
      <c r="CJ68" s="4"/>
      <c r="CK68" s="4"/>
      <c r="CL68" s="4"/>
      <c r="CM68" s="4"/>
      <c r="CN68" s="4"/>
      <c r="CO68" s="4"/>
      <c r="CP68" s="4"/>
    </row>
    <row r="69" spans="1:94" ht="15.75" customHeight="1">
      <c r="A69" s="1">
        <v>68</v>
      </c>
      <c r="B69" s="2">
        <v>20767</v>
      </c>
      <c r="C69" s="10">
        <v>45380</v>
      </c>
      <c r="D69" s="4">
        <v>3</v>
      </c>
      <c r="E69" s="4">
        <v>249</v>
      </c>
      <c r="F69" s="23">
        <v>1.33</v>
      </c>
      <c r="G69" s="23">
        <v>6.73</v>
      </c>
      <c r="H69" s="23">
        <v>5.15</v>
      </c>
      <c r="I69" s="23">
        <v>24.52</v>
      </c>
      <c r="J69" s="4" t="s">
        <v>90</v>
      </c>
      <c r="K69" s="4">
        <v>44105</v>
      </c>
      <c r="L69" s="4">
        <v>75</v>
      </c>
      <c r="M69" s="23">
        <v>1.38</v>
      </c>
      <c r="N69" s="23">
        <v>6.34</v>
      </c>
      <c r="O69" s="23">
        <v>5.46</v>
      </c>
      <c r="P69" s="4" t="s">
        <v>86</v>
      </c>
      <c r="Q69" s="4">
        <v>0</v>
      </c>
      <c r="R69" s="4"/>
      <c r="S69" s="4">
        <v>44319</v>
      </c>
      <c r="T69" s="4">
        <v>91</v>
      </c>
      <c r="U69" s="23">
        <v>1.1499999999999999</v>
      </c>
      <c r="V69" s="23">
        <v>6.83</v>
      </c>
      <c r="W69" s="23">
        <v>5.39</v>
      </c>
      <c r="X69" s="4" t="s">
        <v>86</v>
      </c>
      <c r="Y69" s="4">
        <v>0</v>
      </c>
      <c r="Z69" s="4"/>
      <c r="AA69" s="4">
        <v>44131</v>
      </c>
      <c r="AB69" s="4">
        <v>83</v>
      </c>
      <c r="AC69" s="23">
        <v>1.48</v>
      </c>
      <c r="AD69" s="23">
        <v>6.99</v>
      </c>
      <c r="AE69" s="23">
        <v>4.7300000000000004</v>
      </c>
      <c r="AF69" s="4" t="s">
        <v>86</v>
      </c>
      <c r="AG69" s="4">
        <v>0</v>
      </c>
      <c r="AH69" s="4"/>
      <c r="AI69" s="4"/>
      <c r="AJ69" s="4"/>
      <c r="AK69" s="23"/>
      <c r="AL69" s="23"/>
      <c r="AM69" s="23"/>
      <c r="AN69" s="4"/>
      <c r="AO69" s="4"/>
      <c r="AP69" s="4"/>
      <c r="AQ69" s="4"/>
      <c r="AR69" s="4"/>
      <c r="AS69" s="23"/>
      <c r="AT69" s="23"/>
      <c r="AU69" s="23"/>
      <c r="AV69" s="4"/>
      <c r="AW69" s="4"/>
      <c r="AX69" s="4"/>
      <c r="AY69" s="4"/>
      <c r="AZ69" s="24"/>
      <c r="BA69" s="23"/>
      <c r="BB69" s="23"/>
      <c r="BC69" s="23"/>
      <c r="BD69" s="4"/>
      <c r="BE69" s="4"/>
      <c r="BF69" s="4"/>
      <c r="BG69" s="4"/>
      <c r="BH69" s="4"/>
      <c r="BI69" s="23"/>
      <c r="BJ69" s="23"/>
      <c r="BK69" s="23"/>
      <c r="BL69" s="4"/>
      <c r="BM69" s="4"/>
      <c r="BN69" s="4"/>
      <c r="BO69" s="4"/>
      <c r="BP69" s="4"/>
      <c r="BQ69" s="23"/>
      <c r="BR69" s="23"/>
      <c r="BS69" s="23"/>
      <c r="BT69" s="4"/>
      <c r="BU69" s="4"/>
      <c r="BV69" s="4"/>
      <c r="BW69" s="4"/>
      <c r="BX69" s="4"/>
      <c r="BY69" s="23"/>
      <c r="BZ69" s="23"/>
      <c r="CA69" s="23"/>
      <c r="CB69" s="4"/>
      <c r="CC69" s="4"/>
      <c r="CD69" s="4"/>
      <c r="CE69" s="4"/>
      <c r="CF69" s="4"/>
      <c r="CG69" s="23"/>
      <c r="CH69" s="23"/>
      <c r="CI69" s="23"/>
      <c r="CJ69" s="4"/>
      <c r="CK69" s="4"/>
      <c r="CL69" s="4"/>
      <c r="CM69" s="4"/>
      <c r="CN69" s="4"/>
      <c r="CO69" s="4"/>
      <c r="CP69" s="4"/>
    </row>
    <row r="70" spans="1:94" ht="15.75" customHeight="1">
      <c r="A70" s="1">
        <v>69</v>
      </c>
      <c r="B70" s="2">
        <v>20770</v>
      </c>
      <c r="C70" s="10">
        <v>45380</v>
      </c>
      <c r="D70" s="4">
        <v>5</v>
      </c>
      <c r="E70" s="4">
        <v>434</v>
      </c>
      <c r="F70" s="23">
        <v>1.06</v>
      </c>
      <c r="G70" s="23">
        <v>7.05</v>
      </c>
      <c r="H70" s="23">
        <v>3.59</v>
      </c>
      <c r="I70" s="23">
        <v>20.11</v>
      </c>
      <c r="J70" s="4" t="s">
        <v>83</v>
      </c>
      <c r="K70" s="4">
        <v>43837</v>
      </c>
      <c r="L70" s="4">
        <v>39</v>
      </c>
      <c r="M70" s="23">
        <v>1.25</v>
      </c>
      <c r="N70" s="23">
        <v>6.92</v>
      </c>
      <c r="O70" s="23">
        <v>3.76</v>
      </c>
      <c r="P70" s="4" t="s">
        <v>84</v>
      </c>
      <c r="Q70" s="4">
        <v>0</v>
      </c>
      <c r="R70" s="4"/>
      <c r="S70" s="4">
        <v>44319</v>
      </c>
      <c r="T70" s="4">
        <v>33</v>
      </c>
      <c r="U70" s="23">
        <v>1.1599999999999999</v>
      </c>
      <c r="V70" s="23">
        <v>5.99</v>
      </c>
      <c r="W70" s="23">
        <v>6.53</v>
      </c>
      <c r="X70" s="4" t="s">
        <v>84</v>
      </c>
      <c r="Y70" s="4">
        <v>0</v>
      </c>
      <c r="Z70" s="4"/>
      <c r="AA70" s="4">
        <v>43717</v>
      </c>
      <c r="AB70" s="4">
        <v>92</v>
      </c>
      <c r="AC70" s="23">
        <v>1.03</v>
      </c>
      <c r="AD70" s="23">
        <v>7.22</v>
      </c>
      <c r="AE70" s="23">
        <v>3.13</v>
      </c>
      <c r="AF70" s="4" t="s">
        <v>84</v>
      </c>
      <c r="AG70" s="4">
        <v>0</v>
      </c>
      <c r="AH70" s="4"/>
      <c r="AI70" s="4">
        <v>43717</v>
      </c>
      <c r="AJ70" s="4">
        <v>141</v>
      </c>
      <c r="AK70" s="23">
        <v>0.97</v>
      </c>
      <c r="AL70" s="23">
        <v>7.1</v>
      </c>
      <c r="AM70" s="23">
        <v>2.96</v>
      </c>
      <c r="AN70" s="4" t="s">
        <v>84</v>
      </c>
      <c r="AO70" s="4">
        <v>0</v>
      </c>
      <c r="AP70" s="4"/>
      <c r="AQ70" s="4">
        <v>44357</v>
      </c>
      <c r="AR70" s="4">
        <v>129</v>
      </c>
      <c r="AS70" s="23">
        <v>1.1000000000000001</v>
      </c>
      <c r="AT70" s="23">
        <v>7.12</v>
      </c>
      <c r="AU70" s="23">
        <v>3.77</v>
      </c>
      <c r="AV70" s="4" t="s">
        <v>84</v>
      </c>
      <c r="AW70" s="4">
        <v>0</v>
      </c>
      <c r="AX70" s="4"/>
      <c r="AY70" s="4"/>
      <c r="AZ70" s="24"/>
      <c r="BA70" s="23"/>
      <c r="BB70" s="23"/>
      <c r="BC70" s="23"/>
      <c r="BD70" s="4"/>
      <c r="BE70" s="4"/>
      <c r="BF70" s="4"/>
      <c r="BG70" s="4"/>
      <c r="BH70" s="4"/>
      <c r="BI70" s="23"/>
      <c r="BJ70" s="23"/>
      <c r="BK70" s="23"/>
      <c r="BL70" s="4"/>
      <c r="BM70" s="4"/>
      <c r="BN70" s="4"/>
      <c r="BO70" s="4"/>
      <c r="BP70" s="4"/>
      <c r="BQ70" s="23"/>
      <c r="BR70" s="23"/>
      <c r="BS70" s="23"/>
      <c r="BT70" s="4"/>
      <c r="BU70" s="4"/>
      <c r="BV70" s="4"/>
      <c r="BW70" s="4"/>
      <c r="BX70" s="4"/>
      <c r="BY70" s="23"/>
      <c r="BZ70" s="23"/>
      <c r="CA70" s="23"/>
      <c r="CB70" s="4"/>
      <c r="CC70" s="4"/>
      <c r="CD70" s="4"/>
      <c r="CE70" s="4"/>
      <c r="CF70" s="4"/>
      <c r="CG70" s="23"/>
      <c r="CH70" s="23"/>
      <c r="CI70" s="23"/>
      <c r="CJ70" s="4"/>
      <c r="CK70" s="4"/>
      <c r="CL70" s="4"/>
      <c r="CM70" s="4"/>
      <c r="CN70" s="4"/>
      <c r="CO70" s="4"/>
      <c r="CP70" s="4"/>
    </row>
    <row r="71" spans="1:94" ht="15.75" customHeight="1">
      <c r="A71" s="1">
        <v>70</v>
      </c>
      <c r="B71" s="2">
        <v>20771</v>
      </c>
      <c r="C71" s="10">
        <v>45380</v>
      </c>
      <c r="D71" s="4">
        <v>4</v>
      </c>
      <c r="E71" s="4">
        <v>512</v>
      </c>
      <c r="F71" s="23">
        <v>1.1299999999999999</v>
      </c>
      <c r="G71" s="23">
        <v>7.03</v>
      </c>
      <c r="H71" s="23">
        <v>3.62</v>
      </c>
      <c r="I71" s="23">
        <v>20.29</v>
      </c>
      <c r="J71" s="4" t="s">
        <v>83</v>
      </c>
      <c r="K71" s="4">
        <v>43192</v>
      </c>
      <c r="L71" s="4">
        <v>103</v>
      </c>
      <c r="M71" s="23">
        <v>1.1299999999999999</v>
      </c>
      <c r="N71" s="23">
        <v>6.77</v>
      </c>
      <c r="O71" s="23">
        <v>3.53</v>
      </c>
      <c r="P71" s="4" t="s">
        <v>84</v>
      </c>
      <c r="Q71" s="4">
        <v>0</v>
      </c>
      <c r="R71" s="4"/>
      <c r="S71" s="4">
        <v>44106</v>
      </c>
      <c r="T71" s="4">
        <v>145</v>
      </c>
      <c r="U71" s="23">
        <v>0.96</v>
      </c>
      <c r="V71" s="23">
        <v>7.1</v>
      </c>
      <c r="W71" s="23">
        <v>2.89</v>
      </c>
      <c r="X71" s="4" t="s">
        <v>84</v>
      </c>
      <c r="Y71" s="4">
        <v>0</v>
      </c>
      <c r="Z71" s="4"/>
      <c r="AA71" s="4">
        <v>43551</v>
      </c>
      <c r="AB71" s="4">
        <v>124</v>
      </c>
      <c r="AC71" s="23">
        <v>1.1200000000000001</v>
      </c>
      <c r="AD71" s="23">
        <v>7.14</v>
      </c>
      <c r="AE71" s="23">
        <v>4.26</v>
      </c>
      <c r="AF71" s="4" t="s">
        <v>84</v>
      </c>
      <c r="AG71" s="4">
        <v>0</v>
      </c>
      <c r="AH71" s="4"/>
      <c r="AI71" s="4">
        <v>44354</v>
      </c>
      <c r="AJ71" s="4">
        <v>139</v>
      </c>
      <c r="AK71" s="23">
        <v>1.1100000000000001</v>
      </c>
      <c r="AL71" s="23">
        <v>6.85</v>
      </c>
      <c r="AM71" s="23">
        <v>3.94</v>
      </c>
      <c r="AN71" s="4" t="s">
        <v>84</v>
      </c>
      <c r="AO71" s="4">
        <v>0</v>
      </c>
      <c r="AP71" s="4"/>
      <c r="AQ71" s="4"/>
      <c r="AR71" s="4"/>
      <c r="AS71" s="23"/>
      <c r="AT71" s="23"/>
      <c r="AU71" s="23"/>
      <c r="AV71" s="4"/>
      <c r="AW71" s="4"/>
      <c r="AX71" s="4"/>
      <c r="AY71" s="4"/>
      <c r="AZ71" s="24"/>
      <c r="BA71" s="23"/>
      <c r="BB71" s="23"/>
      <c r="BC71" s="23"/>
      <c r="BD71" s="4"/>
      <c r="BE71" s="4"/>
      <c r="BF71" s="4"/>
      <c r="BG71" s="4"/>
      <c r="BH71" s="4"/>
      <c r="BI71" s="23"/>
      <c r="BJ71" s="23"/>
      <c r="BK71" s="23"/>
      <c r="BL71" s="4"/>
      <c r="BM71" s="4"/>
      <c r="BN71" s="4"/>
      <c r="BO71" s="4"/>
      <c r="BP71" s="4"/>
      <c r="BQ71" s="23"/>
      <c r="BR71" s="23"/>
      <c r="BS71" s="23"/>
      <c r="BT71" s="4"/>
      <c r="BU71" s="4"/>
      <c r="BV71" s="4"/>
      <c r="BW71" s="4"/>
      <c r="BX71" s="4"/>
      <c r="BY71" s="23"/>
      <c r="BZ71" s="23"/>
      <c r="CA71" s="23"/>
      <c r="CB71" s="4"/>
      <c r="CC71" s="4"/>
      <c r="CD71" s="4"/>
      <c r="CE71" s="4"/>
      <c r="CF71" s="4"/>
      <c r="CG71" s="23"/>
      <c r="CH71" s="23"/>
      <c r="CI71" s="23"/>
      <c r="CJ71" s="4"/>
      <c r="CK71" s="4"/>
      <c r="CL71" s="4"/>
      <c r="CM71" s="4"/>
      <c r="CN71" s="4"/>
      <c r="CO71" s="4"/>
      <c r="CP71" s="4"/>
    </row>
    <row r="72" spans="1:94" ht="15.75" customHeight="1">
      <c r="A72" s="18">
        <v>71</v>
      </c>
      <c r="B72" s="19">
        <v>20779</v>
      </c>
      <c r="C72" s="31">
        <v>45384</v>
      </c>
      <c r="D72" s="32">
        <v>4</v>
      </c>
      <c r="E72" s="32">
        <v>484</v>
      </c>
      <c r="F72" s="33">
        <v>1.06</v>
      </c>
      <c r="G72" s="33">
        <v>7.12</v>
      </c>
      <c r="H72" s="33">
        <v>3.57</v>
      </c>
      <c r="I72" s="33">
        <v>20.14</v>
      </c>
      <c r="J72" s="32" t="s">
        <v>83</v>
      </c>
      <c r="K72" s="32">
        <v>44453</v>
      </c>
      <c r="L72" s="32">
        <v>148</v>
      </c>
      <c r="M72" s="33">
        <v>1.21</v>
      </c>
      <c r="N72" s="33">
        <v>6.91</v>
      </c>
      <c r="O72" s="33">
        <v>2.95</v>
      </c>
      <c r="P72" s="32" t="s">
        <v>84</v>
      </c>
      <c r="Q72" s="32">
        <v>0</v>
      </c>
      <c r="R72" s="32"/>
      <c r="S72" s="32">
        <v>43964</v>
      </c>
      <c r="T72" s="32">
        <v>142</v>
      </c>
      <c r="U72" s="33">
        <v>1.01</v>
      </c>
      <c r="V72" s="33">
        <v>7</v>
      </c>
      <c r="W72" s="33">
        <v>4.4800000000000004</v>
      </c>
      <c r="X72" s="32" t="s">
        <v>84</v>
      </c>
      <c r="Y72" s="32">
        <v>0</v>
      </c>
      <c r="Z72" s="32"/>
      <c r="AA72" s="32">
        <v>44229</v>
      </c>
      <c r="AB72" s="32">
        <v>141</v>
      </c>
      <c r="AC72" s="33">
        <v>0.96</v>
      </c>
      <c r="AD72" s="33">
        <v>7.18</v>
      </c>
      <c r="AE72" s="33">
        <v>3</v>
      </c>
      <c r="AF72" s="32" t="s">
        <v>84</v>
      </c>
      <c r="AG72" s="32">
        <v>0</v>
      </c>
      <c r="AH72" s="32"/>
      <c r="AI72" s="32">
        <v>43551</v>
      </c>
      <c r="AJ72" s="32">
        <v>54</v>
      </c>
      <c r="AK72" s="33">
        <v>1.08</v>
      </c>
      <c r="AL72" s="33">
        <v>7.14</v>
      </c>
      <c r="AM72" s="33">
        <v>4.33</v>
      </c>
      <c r="AN72" s="32" t="s">
        <v>84</v>
      </c>
      <c r="AO72" s="32">
        <v>0</v>
      </c>
      <c r="AP72" s="32"/>
      <c r="AQ72" s="32"/>
      <c r="AR72" s="32"/>
      <c r="AS72" s="33"/>
      <c r="AT72" s="33"/>
      <c r="AU72" s="33"/>
      <c r="AV72" s="32"/>
      <c r="AW72" s="32"/>
      <c r="AX72" s="32"/>
      <c r="AY72" s="32"/>
      <c r="AZ72" s="34"/>
      <c r="BA72" s="33"/>
      <c r="BB72" s="33"/>
      <c r="BC72" s="33"/>
      <c r="BD72" s="32"/>
      <c r="BE72" s="32"/>
      <c r="BF72" s="32"/>
      <c r="BG72" s="32"/>
      <c r="BH72" s="32"/>
      <c r="BI72" s="33"/>
      <c r="BJ72" s="33"/>
      <c r="BK72" s="33"/>
      <c r="BL72" s="32"/>
      <c r="BM72" s="32"/>
      <c r="BN72" s="32"/>
      <c r="BO72" s="32"/>
      <c r="BP72" s="32"/>
      <c r="BQ72" s="33"/>
      <c r="BR72" s="33"/>
      <c r="BS72" s="33"/>
      <c r="BT72" s="32"/>
      <c r="BU72" s="32"/>
      <c r="BV72" s="32"/>
      <c r="BW72" s="32"/>
      <c r="BX72" s="32"/>
      <c r="BY72" s="33"/>
      <c r="BZ72" s="33"/>
      <c r="CA72" s="33"/>
      <c r="CB72" s="32"/>
      <c r="CC72" s="32"/>
      <c r="CD72" s="32"/>
      <c r="CE72" s="32"/>
      <c r="CF72" s="32"/>
      <c r="CG72" s="33"/>
      <c r="CH72" s="33"/>
      <c r="CI72" s="33"/>
      <c r="CJ72" s="32"/>
      <c r="CK72" s="32"/>
      <c r="CL72" s="32"/>
      <c r="CM72" s="32"/>
      <c r="CN72" s="32"/>
      <c r="CO72" s="32"/>
      <c r="CP72" s="32"/>
    </row>
    <row r="73" spans="1:94" ht="15.75" customHeight="1">
      <c r="A73" s="1">
        <v>72</v>
      </c>
      <c r="B73" s="2">
        <v>20780</v>
      </c>
      <c r="C73" s="10">
        <v>45384</v>
      </c>
      <c r="D73" s="4">
        <v>4</v>
      </c>
      <c r="E73" s="4">
        <v>533</v>
      </c>
      <c r="F73" s="23">
        <v>1.08</v>
      </c>
      <c r="G73" s="23">
        <v>7.01</v>
      </c>
      <c r="H73" s="23">
        <v>3.58</v>
      </c>
      <c r="I73" s="23">
        <v>20.07</v>
      </c>
      <c r="J73" s="4" t="s">
        <v>83</v>
      </c>
      <c r="K73" s="4">
        <v>44357</v>
      </c>
      <c r="L73" s="4">
        <v>132</v>
      </c>
      <c r="M73" s="23">
        <v>1.1200000000000001</v>
      </c>
      <c r="N73" s="23">
        <v>7.19</v>
      </c>
      <c r="O73" s="23">
        <v>3.64</v>
      </c>
      <c r="P73" s="4" t="s">
        <v>84</v>
      </c>
      <c r="Q73" s="4">
        <v>0</v>
      </c>
      <c r="R73" s="4"/>
      <c r="S73" s="4">
        <v>44356</v>
      </c>
      <c r="T73" s="4">
        <v>124</v>
      </c>
      <c r="U73" s="23">
        <v>1.07</v>
      </c>
      <c r="V73" s="23">
        <v>6.78</v>
      </c>
      <c r="W73" s="23">
        <v>4.1399999999999997</v>
      </c>
      <c r="X73" s="4" t="s">
        <v>84</v>
      </c>
      <c r="Y73" s="4">
        <v>0</v>
      </c>
      <c r="Z73" s="4"/>
      <c r="AA73" s="4">
        <v>43949</v>
      </c>
      <c r="AB73" s="4">
        <v>139</v>
      </c>
      <c r="AC73" s="23">
        <v>1</v>
      </c>
      <c r="AD73" s="23">
        <v>7.06</v>
      </c>
      <c r="AE73" s="23">
        <v>3.18</v>
      </c>
      <c r="AF73" s="4" t="s">
        <v>84</v>
      </c>
      <c r="AG73" s="4">
        <v>0</v>
      </c>
      <c r="AH73" s="4"/>
      <c r="AI73" s="4">
        <v>44156</v>
      </c>
      <c r="AJ73" s="4">
        <v>138</v>
      </c>
      <c r="AK73" s="23">
        <v>1.07</v>
      </c>
      <c r="AL73" s="23">
        <v>7.07</v>
      </c>
      <c r="AM73" s="23">
        <v>3.37</v>
      </c>
      <c r="AN73" s="4" t="s">
        <v>84</v>
      </c>
      <c r="AO73" s="4">
        <v>0</v>
      </c>
      <c r="AP73" s="4"/>
      <c r="AQ73" s="4"/>
      <c r="AR73" s="4"/>
      <c r="AS73" s="23"/>
      <c r="AT73" s="23"/>
      <c r="AU73" s="23"/>
      <c r="AV73" s="4"/>
      <c r="AW73" s="4"/>
      <c r="AX73" s="4"/>
      <c r="AY73" s="4"/>
      <c r="AZ73" s="24"/>
      <c r="BA73" s="23"/>
      <c r="BB73" s="23"/>
      <c r="BC73" s="23"/>
      <c r="BD73" s="4"/>
      <c r="BE73" s="4"/>
      <c r="BF73" s="4"/>
      <c r="BG73" s="4"/>
      <c r="BH73" s="4"/>
      <c r="BI73" s="23"/>
      <c r="BJ73" s="23"/>
      <c r="BK73" s="23"/>
      <c r="BL73" s="4"/>
      <c r="BM73" s="4"/>
      <c r="BN73" s="4"/>
      <c r="BO73" s="4"/>
      <c r="BP73" s="4"/>
      <c r="BQ73" s="23"/>
      <c r="BR73" s="23"/>
      <c r="BS73" s="23"/>
      <c r="BT73" s="4"/>
      <c r="BU73" s="4"/>
      <c r="BV73" s="4"/>
      <c r="BW73" s="4"/>
      <c r="BX73" s="4"/>
      <c r="BY73" s="23"/>
      <c r="BZ73" s="23"/>
      <c r="CA73" s="23"/>
      <c r="CB73" s="4"/>
      <c r="CC73" s="4"/>
      <c r="CD73" s="4"/>
      <c r="CE73" s="4"/>
      <c r="CF73" s="4"/>
      <c r="CG73" s="23"/>
      <c r="CH73" s="23"/>
      <c r="CI73" s="23"/>
      <c r="CJ73" s="4"/>
      <c r="CK73" s="4"/>
      <c r="CL73" s="4"/>
      <c r="CM73" s="4"/>
      <c r="CN73" s="4"/>
      <c r="CO73" s="4"/>
      <c r="CP73" s="4"/>
    </row>
    <row r="74" spans="1:94" ht="15.75" customHeight="1">
      <c r="A74" s="1">
        <v>73</v>
      </c>
      <c r="B74" s="2">
        <v>20781</v>
      </c>
      <c r="C74" s="10">
        <v>45384</v>
      </c>
      <c r="D74" s="4">
        <v>4</v>
      </c>
      <c r="E74" s="4">
        <v>486</v>
      </c>
      <c r="F74" s="23">
        <v>1.08</v>
      </c>
      <c r="G74" s="23">
        <v>7.06</v>
      </c>
      <c r="H74" s="23">
        <v>3.71</v>
      </c>
      <c r="I74" s="23">
        <v>20.48</v>
      </c>
      <c r="J74" s="4" t="s">
        <v>83</v>
      </c>
      <c r="K74" s="4">
        <v>44074</v>
      </c>
      <c r="L74" s="4">
        <v>95</v>
      </c>
      <c r="M74" s="23">
        <v>1.0900000000000001</v>
      </c>
      <c r="N74" s="23">
        <v>7.12</v>
      </c>
      <c r="O74" s="23">
        <v>3.34</v>
      </c>
      <c r="P74" s="4" t="s">
        <v>84</v>
      </c>
      <c r="Q74" s="4">
        <v>0</v>
      </c>
      <c r="R74" s="4"/>
      <c r="S74" s="4">
        <v>44032</v>
      </c>
      <c r="T74" s="4">
        <v>143</v>
      </c>
      <c r="U74" s="23">
        <v>1.01</v>
      </c>
      <c r="V74" s="23">
        <v>6.97</v>
      </c>
      <c r="W74" s="23">
        <v>3.64</v>
      </c>
      <c r="X74" s="4" t="s">
        <v>84</v>
      </c>
      <c r="Y74" s="4">
        <v>0</v>
      </c>
      <c r="Z74" s="4"/>
      <c r="AA74" s="4">
        <v>43499</v>
      </c>
      <c r="AB74" s="4">
        <v>106</v>
      </c>
      <c r="AC74" s="23">
        <v>1.0900000000000001</v>
      </c>
      <c r="AD74" s="23">
        <v>6.89</v>
      </c>
      <c r="AE74" s="23">
        <v>4.68</v>
      </c>
      <c r="AF74" s="4" t="s">
        <v>84</v>
      </c>
      <c r="AG74" s="4">
        <v>0</v>
      </c>
      <c r="AH74" s="4"/>
      <c r="AI74" s="4">
        <v>44156</v>
      </c>
      <c r="AJ74" s="4">
        <v>142</v>
      </c>
      <c r="AK74" s="23">
        <v>1.06</v>
      </c>
      <c r="AL74" s="23">
        <v>7.06</v>
      </c>
      <c r="AM74" s="23">
        <v>3.41</v>
      </c>
      <c r="AN74" s="4" t="s">
        <v>84</v>
      </c>
      <c r="AO74" s="4">
        <v>0</v>
      </c>
      <c r="AP74" s="4"/>
      <c r="AQ74" s="4"/>
      <c r="AR74" s="4"/>
      <c r="AS74" s="23"/>
      <c r="AT74" s="23"/>
      <c r="AU74" s="23"/>
      <c r="AV74" s="4"/>
      <c r="AW74" s="4"/>
      <c r="AX74" s="4"/>
      <c r="AY74" s="4"/>
      <c r="AZ74" s="24"/>
      <c r="BA74" s="23"/>
      <c r="BB74" s="23"/>
      <c r="BC74" s="23"/>
      <c r="BD74" s="4"/>
      <c r="BE74" s="4"/>
      <c r="BF74" s="4"/>
      <c r="BG74" s="4"/>
      <c r="BH74" s="4"/>
      <c r="BI74" s="23"/>
      <c r="BJ74" s="23"/>
      <c r="BK74" s="23"/>
      <c r="BL74" s="4"/>
      <c r="BM74" s="4"/>
      <c r="BN74" s="4"/>
      <c r="BO74" s="4"/>
      <c r="BP74" s="4"/>
      <c r="BQ74" s="23"/>
      <c r="BR74" s="23"/>
      <c r="BS74" s="23"/>
      <c r="BT74" s="4"/>
      <c r="BU74" s="4"/>
      <c r="BV74" s="4"/>
      <c r="BW74" s="4"/>
      <c r="BX74" s="4"/>
      <c r="BY74" s="23"/>
      <c r="BZ74" s="23"/>
      <c r="CA74" s="23"/>
      <c r="CB74" s="4"/>
      <c r="CC74" s="4"/>
      <c r="CD74" s="4"/>
      <c r="CE74" s="4"/>
      <c r="CF74" s="4"/>
      <c r="CG74" s="23"/>
      <c r="CH74" s="23"/>
      <c r="CI74" s="23"/>
      <c r="CJ74" s="4"/>
      <c r="CK74" s="4"/>
      <c r="CL74" s="4"/>
      <c r="CM74" s="4"/>
      <c r="CN74" s="4"/>
      <c r="CO74" s="4"/>
      <c r="CP74" s="4"/>
    </row>
    <row r="75" spans="1:94" ht="15.75" customHeight="1">
      <c r="A75" s="1">
        <v>74</v>
      </c>
      <c r="B75" s="2">
        <v>20782</v>
      </c>
      <c r="C75" s="10">
        <v>45384</v>
      </c>
      <c r="D75" s="4">
        <v>5</v>
      </c>
      <c r="E75" s="4">
        <v>443</v>
      </c>
      <c r="F75" s="23">
        <v>1.18</v>
      </c>
      <c r="G75" s="23">
        <v>7.25</v>
      </c>
      <c r="H75" s="23">
        <v>3.37</v>
      </c>
      <c r="I75" s="23">
        <v>19.940000000000001</v>
      </c>
      <c r="J75" s="4" t="s">
        <v>87</v>
      </c>
      <c r="K75" s="4">
        <v>44444</v>
      </c>
      <c r="L75" s="4">
        <v>70</v>
      </c>
      <c r="M75" s="23">
        <v>1.4</v>
      </c>
      <c r="N75" s="23">
        <v>7.37</v>
      </c>
      <c r="O75" s="23">
        <v>3.5</v>
      </c>
      <c r="P75" s="4" t="s">
        <v>86</v>
      </c>
      <c r="Q75" s="4">
        <v>0</v>
      </c>
      <c r="R75" s="4"/>
      <c r="S75" s="4">
        <v>44435</v>
      </c>
      <c r="T75" s="4">
        <v>99</v>
      </c>
      <c r="U75" s="23">
        <v>1</v>
      </c>
      <c r="V75" s="23">
        <v>7.22</v>
      </c>
      <c r="W75" s="23">
        <v>2.83</v>
      </c>
      <c r="X75" s="4" t="s">
        <v>86</v>
      </c>
      <c r="Y75" s="4">
        <v>0</v>
      </c>
      <c r="Z75" s="4"/>
      <c r="AA75" s="4">
        <v>44074</v>
      </c>
      <c r="AB75" s="4">
        <v>43</v>
      </c>
      <c r="AC75" s="23">
        <v>1.1299999999999999</v>
      </c>
      <c r="AD75" s="23">
        <v>7.07</v>
      </c>
      <c r="AE75" s="23">
        <v>4.38</v>
      </c>
      <c r="AF75" s="4" t="s">
        <v>86</v>
      </c>
      <c r="AG75" s="4">
        <v>0</v>
      </c>
      <c r="AH75" s="4"/>
      <c r="AI75" s="4">
        <v>44384</v>
      </c>
      <c r="AJ75" s="4">
        <v>134</v>
      </c>
      <c r="AK75" s="23">
        <v>10.8</v>
      </c>
      <c r="AL75" s="23">
        <v>7.15</v>
      </c>
      <c r="AM75" s="23">
        <v>3.77</v>
      </c>
      <c r="AN75" s="4" t="s">
        <v>86</v>
      </c>
      <c r="AO75" s="4">
        <v>0</v>
      </c>
      <c r="AP75" s="4"/>
      <c r="AQ75" s="4">
        <v>44393</v>
      </c>
      <c r="AR75" s="4">
        <v>97</v>
      </c>
      <c r="AS75" s="23">
        <v>1.23</v>
      </c>
      <c r="AT75" s="23">
        <v>7.25</v>
      </c>
      <c r="AU75" s="23">
        <v>2.9</v>
      </c>
      <c r="AV75" s="4" t="s">
        <v>86</v>
      </c>
      <c r="AW75" s="4">
        <v>0</v>
      </c>
      <c r="AX75" s="4"/>
      <c r="AY75" s="4"/>
      <c r="AZ75" s="24"/>
      <c r="BA75" s="23"/>
      <c r="BB75" s="23"/>
      <c r="BC75" s="23"/>
      <c r="BD75" s="4"/>
      <c r="BE75" s="4"/>
      <c r="BF75" s="4"/>
      <c r="BG75" s="4"/>
      <c r="BH75" s="4"/>
      <c r="BI75" s="23"/>
      <c r="BJ75" s="23"/>
      <c r="BK75" s="23"/>
      <c r="BL75" s="4"/>
      <c r="BM75" s="4"/>
      <c r="BN75" s="4"/>
      <c r="BO75" s="4"/>
      <c r="BP75" s="4"/>
      <c r="BQ75" s="23"/>
      <c r="BR75" s="23"/>
      <c r="BS75" s="23"/>
      <c r="BT75" s="4"/>
      <c r="BU75" s="4"/>
      <c r="BV75" s="4"/>
      <c r="BW75" s="4"/>
      <c r="BX75" s="4"/>
      <c r="BY75" s="23"/>
      <c r="BZ75" s="23"/>
      <c r="CA75" s="23"/>
      <c r="CB75" s="4"/>
      <c r="CC75" s="4"/>
      <c r="CD75" s="4"/>
      <c r="CE75" s="4"/>
      <c r="CF75" s="4"/>
      <c r="CG75" s="23"/>
      <c r="CH75" s="23"/>
      <c r="CI75" s="23"/>
      <c r="CJ75" s="4"/>
      <c r="CK75" s="4"/>
      <c r="CL75" s="4"/>
      <c r="CM75" s="4"/>
      <c r="CN75" s="4"/>
      <c r="CO75" s="4"/>
      <c r="CP75" s="4"/>
    </row>
    <row r="76" spans="1:94" ht="15.75" customHeight="1">
      <c r="A76" s="1">
        <v>75</v>
      </c>
      <c r="B76" s="2">
        <v>20784</v>
      </c>
      <c r="C76" s="10">
        <v>45384</v>
      </c>
      <c r="D76" s="4">
        <v>5</v>
      </c>
      <c r="E76" s="4">
        <v>436</v>
      </c>
      <c r="F76" s="23">
        <v>1.24</v>
      </c>
      <c r="G76" s="23">
        <v>7.18</v>
      </c>
      <c r="H76" s="23">
        <v>3.38</v>
      </c>
      <c r="I76" s="23">
        <v>19.989999999999998</v>
      </c>
      <c r="J76" s="4" t="s">
        <v>87</v>
      </c>
      <c r="K76" s="4">
        <v>44366</v>
      </c>
      <c r="L76" s="4">
        <v>61</v>
      </c>
      <c r="M76" s="23">
        <v>1.27</v>
      </c>
      <c r="N76" s="23">
        <v>7.05</v>
      </c>
      <c r="O76" s="23">
        <v>3.49</v>
      </c>
      <c r="P76" s="4" t="s">
        <v>86</v>
      </c>
      <c r="Q76" s="4">
        <v>0</v>
      </c>
      <c r="R76" s="4"/>
      <c r="S76" s="4">
        <v>44329</v>
      </c>
      <c r="T76" s="4">
        <v>118</v>
      </c>
      <c r="U76" s="23">
        <v>1.1200000000000001</v>
      </c>
      <c r="V76" s="23">
        <v>7.55</v>
      </c>
      <c r="W76" s="23">
        <v>2.7</v>
      </c>
      <c r="X76" s="4" t="s">
        <v>86</v>
      </c>
      <c r="Y76" s="4">
        <v>0</v>
      </c>
      <c r="Z76" s="4"/>
      <c r="AA76" s="4">
        <v>44300</v>
      </c>
      <c r="AB76" s="4">
        <v>146</v>
      </c>
      <c r="AC76" s="23">
        <v>1.2</v>
      </c>
      <c r="AD76" s="23">
        <v>7.13</v>
      </c>
      <c r="AE76" s="23">
        <v>3.32</v>
      </c>
      <c r="AF76" s="4" t="s">
        <v>86</v>
      </c>
      <c r="AG76" s="4">
        <v>0</v>
      </c>
      <c r="AH76" s="4"/>
      <c r="AI76" s="4">
        <v>44105</v>
      </c>
      <c r="AJ76" s="4">
        <v>44</v>
      </c>
      <c r="AK76" s="23">
        <v>1.38</v>
      </c>
      <c r="AL76" s="23">
        <v>6.42</v>
      </c>
      <c r="AM76" s="23">
        <v>5.49</v>
      </c>
      <c r="AN76" s="4" t="s">
        <v>86</v>
      </c>
      <c r="AO76" s="4">
        <v>0</v>
      </c>
      <c r="AP76" s="4"/>
      <c r="AQ76" s="4">
        <v>44326</v>
      </c>
      <c r="AR76" s="4">
        <v>67</v>
      </c>
      <c r="AS76" s="23">
        <v>1.21</v>
      </c>
      <c r="AT76" s="23">
        <v>7.01</v>
      </c>
      <c r="AU76" s="23">
        <v>3.15</v>
      </c>
      <c r="AV76" s="4" t="s">
        <v>86</v>
      </c>
      <c r="AW76" s="4">
        <v>0</v>
      </c>
      <c r="AX76" s="4"/>
      <c r="AY76" s="4"/>
      <c r="AZ76" s="24"/>
      <c r="BA76" s="23"/>
      <c r="BB76" s="23"/>
      <c r="BC76" s="23"/>
      <c r="BD76" s="4"/>
      <c r="BE76" s="4"/>
      <c r="BF76" s="4"/>
      <c r="BG76" s="4"/>
      <c r="BH76" s="4"/>
      <c r="BI76" s="23"/>
      <c r="BJ76" s="23"/>
      <c r="BK76" s="23"/>
      <c r="BL76" s="4"/>
      <c r="BM76" s="4"/>
      <c r="BN76" s="4"/>
      <c r="BO76" s="4"/>
      <c r="BP76" s="4"/>
      <c r="BQ76" s="23"/>
      <c r="BR76" s="23"/>
      <c r="BS76" s="23"/>
      <c r="BT76" s="4"/>
      <c r="BU76" s="4"/>
      <c r="BV76" s="4"/>
      <c r="BW76" s="4"/>
      <c r="BX76" s="4"/>
      <c r="BY76" s="23"/>
      <c r="BZ76" s="23"/>
      <c r="CA76" s="23"/>
      <c r="CB76" s="4"/>
      <c r="CC76" s="4"/>
      <c r="CD76" s="4"/>
      <c r="CE76" s="4"/>
      <c r="CF76" s="4"/>
      <c r="CG76" s="23"/>
      <c r="CH76" s="23"/>
      <c r="CI76" s="23"/>
      <c r="CJ76" s="4"/>
      <c r="CK76" s="4"/>
      <c r="CL76" s="4"/>
      <c r="CM76" s="4"/>
      <c r="CN76" s="4"/>
      <c r="CO76" s="4"/>
      <c r="CP76" s="4"/>
    </row>
    <row r="77" spans="1:94" ht="15.75" customHeight="1">
      <c r="A77" s="1">
        <v>76</v>
      </c>
      <c r="B77" s="2">
        <v>20786</v>
      </c>
      <c r="C77" s="10">
        <v>45385</v>
      </c>
      <c r="D77" s="4">
        <v>4</v>
      </c>
      <c r="E77" s="4">
        <v>422</v>
      </c>
      <c r="F77" s="23">
        <v>1.1100000000000001</v>
      </c>
      <c r="G77" s="23">
        <v>7.15</v>
      </c>
      <c r="H77" s="23">
        <v>3.44</v>
      </c>
      <c r="I77" s="23">
        <v>19.899999999999999</v>
      </c>
      <c r="J77" s="4" t="s">
        <v>83</v>
      </c>
      <c r="K77" s="4">
        <v>43992</v>
      </c>
      <c r="L77" s="4">
        <v>149</v>
      </c>
      <c r="M77" s="23">
        <v>1.43</v>
      </c>
      <c r="N77" s="23">
        <v>7.11</v>
      </c>
      <c r="O77" s="23">
        <v>4.16</v>
      </c>
      <c r="P77" s="4" t="s">
        <v>84</v>
      </c>
      <c r="Q77" s="4">
        <v>0</v>
      </c>
      <c r="R77" s="4"/>
      <c r="S77" s="4">
        <v>43109</v>
      </c>
      <c r="T77" s="4">
        <v>124</v>
      </c>
      <c r="U77" s="23">
        <v>0.87</v>
      </c>
      <c r="V77" s="23">
        <v>7.08</v>
      </c>
      <c r="W77" s="23">
        <v>3.07</v>
      </c>
      <c r="X77" s="4" t="s">
        <v>84</v>
      </c>
      <c r="Y77" s="4">
        <v>0</v>
      </c>
      <c r="Z77" s="4"/>
      <c r="AA77" s="4">
        <v>44032</v>
      </c>
      <c r="AB77" s="4">
        <v>90</v>
      </c>
      <c r="AC77" s="23">
        <v>1</v>
      </c>
      <c r="AD77" s="23">
        <v>7.06</v>
      </c>
      <c r="AE77" s="23">
        <v>3.63</v>
      </c>
      <c r="AF77" s="4" t="s">
        <v>84</v>
      </c>
      <c r="AG77" s="4">
        <v>0</v>
      </c>
      <c r="AH77" s="4"/>
      <c r="AI77" s="4">
        <v>43831</v>
      </c>
      <c r="AJ77" s="4">
        <v>60</v>
      </c>
      <c r="AK77" s="23">
        <v>1</v>
      </c>
      <c r="AL77" s="23">
        <v>7.13</v>
      </c>
      <c r="AM77" s="23">
        <v>2.58</v>
      </c>
      <c r="AN77" s="4" t="s">
        <v>84</v>
      </c>
      <c r="AO77" s="4">
        <v>0</v>
      </c>
      <c r="AP77" s="4"/>
      <c r="AQ77" s="4"/>
      <c r="AR77" s="4"/>
      <c r="AS77" s="23"/>
      <c r="AT77" s="23"/>
      <c r="AU77" s="23"/>
      <c r="AV77" s="4"/>
      <c r="AW77" s="4"/>
      <c r="AX77" s="4"/>
      <c r="AY77" s="4"/>
      <c r="AZ77" s="24"/>
      <c r="BA77" s="23"/>
      <c r="BB77" s="23"/>
      <c r="BC77" s="23"/>
      <c r="BD77" s="4"/>
      <c r="BE77" s="4"/>
      <c r="BF77" s="4"/>
      <c r="BG77" s="4"/>
      <c r="BH77" s="4"/>
      <c r="BI77" s="23"/>
      <c r="BJ77" s="23"/>
      <c r="BK77" s="23"/>
      <c r="BL77" s="4"/>
      <c r="BM77" s="4"/>
      <c r="BN77" s="4"/>
      <c r="BO77" s="4"/>
      <c r="BP77" s="4"/>
      <c r="BQ77" s="23"/>
      <c r="BR77" s="23"/>
      <c r="BS77" s="23"/>
      <c r="BT77" s="4"/>
      <c r="BU77" s="4"/>
      <c r="BV77" s="4"/>
      <c r="BW77" s="4"/>
      <c r="BX77" s="4"/>
      <c r="BY77" s="23"/>
      <c r="BZ77" s="23"/>
      <c r="CA77" s="23"/>
      <c r="CB77" s="4"/>
      <c r="CC77" s="4"/>
      <c r="CD77" s="4"/>
      <c r="CE77" s="4"/>
      <c r="CF77" s="4"/>
      <c r="CG77" s="23"/>
      <c r="CH77" s="23"/>
      <c r="CI77" s="23"/>
      <c r="CJ77" s="4"/>
      <c r="CK77" s="4"/>
      <c r="CL77" s="4"/>
      <c r="CM77" s="4"/>
      <c r="CN77" s="4"/>
      <c r="CO77" s="4"/>
      <c r="CP77" s="4"/>
    </row>
    <row r="78" spans="1:94" ht="15.75" customHeight="1">
      <c r="A78" s="1">
        <v>77</v>
      </c>
      <c r="B78" s="2">
        <v>20787</v>
      </c>
      <c r="C78" s="10">
        <v>45385</v>
      </c>
      <c r="D78" s="4">
        <v>4</v>
      </c>
      <c r="E78" s="4">
        <v>569</v>
      </c>
      <c r="F78" s="23">
        <v>1.0900000000000001</v>
      </c>
      <c r="G78" s="23">
        <v>7.14</v>
      </c>
      <c r="H78" s="23">
        <v>3.62</v>
      </c>
      <c r="I78" s="23">
        <v>20.350000000000001</v>
      </c>
      <c r="J78" s="4" t="s">
        <v>88</v>
      </c>
      <c r="K78" s="4">
        <v>43992</v>
      </c>
      <c r="L78" s="4">
        <v>141</v>
      </c>
      <c r="M78" s="23">
        <v>1.35</v>
      </c>
      <c r="N78" s="23">
        <v>7.19</v>
      </c>
      <c r="O78" s="23">
        <v>4.08</v>
      </c>
      <c r="P78" s="4" t="s">
        <v>84</v>
      </c>
      <c r="Q78" s="4">
        <v>0</v>
      </c>
      <c r="R78" s="4"/>
      <c r="S78" s="4">
        <v>43717</v>
      </c>
      <c r="T78" s="4">
        <v>145</v>
      </c>
      <c r="U78" s="23">
        <v>0.94</v>
      </c>
      <c r="V78" s="23">
        <v>7.04</v>
      </c>
      <c r="W78" s="23">
        <v>3.28</v>
      </c>
      <c r="X78" s="4" t="s">
        <v>84</v>
      </c>
      <c r="Y78" s="4">
        <v>0</v>
      </c>
      <c r="Z78" s="4"/>
      <c r="AA78" s="4">
        <v>44012</v>
      </c>
      <c r="AB78" s="4">
        <v>144</v>
      </c>
      <c r="AC78" s="23">
        <v>1.01</v>
      </c>
      <c r="AD78" s="23">
        <v>7.13</v>
      </c>
      <c r="AE78" s="23">
        <v>3.26</v>
      </c>
      <c r="AF78" s="4" t="s">
        <v>84</v>
      </c>
      <c r="AG78" s="4">
        <v>0</v>
      </c>
      <c r="AH78" s="4"/>
      <c r="AI78" s="4">
        <v>44156</v>
      </c>
      <c r="AJ78" s="4">
        <v>140</v>
      </c>
      <c r="AK78" s="23">
        <v>1.06</v>
      </c>
      <c r="AL78" s="23">
        <v>7.08</v>
      </c>
      <c r="AM78" s="23">
        <v>3.82</v>
      </c>
      <c r="AN78" s="4" t="s">
        <v>84</v>
      </c>
      <c r="AO78" s="4">
        <v>0</v>
      </c>
      <c r="AP78" s="4"/>
      <c r="AQ78" s="4"/>
      <c r="AR78" s="4"/>
      <c r="AS78" s="23"/>
      <c r="AT78" s="23"/>
      <c r="AU78" s="23"/>
      <c r="AV78" s="4"/>
      <c r="AW78" s="4"/>
      <c r="AX78" s="4"/>
      <c r="AY78" s="4"/>
      <c r="AZ78" s="24"/>
      <c r="BA78" s="23"/>
      <c r="BB78" s="23"/>
      <c r="BC78" s="23"/>
      <c r="BD78" s="4"/>
      <c r="BE78" s="4"/>
      <c r="BF78" s="4"/>
      <c r="BG78" s="4"/>
      <c r="BH78" s="4"/>
      <c r="BI78" s="23"/>
      <c r="BJ78" s="23"/>
      <c r="BK78" s="23"/>
      <c r="BL78" s="4"/>
      <c r="BM78" s="4"/>
      <c r="BN78" s="4"/>
      <c r="BO78" s="4"/>
      <c r="BP78" s="4"/>
      <c r="BQ78" s="23"/>
      <c r="BR78" s="23"/>
      <c r="BS78" s="23"/>
      <c r="BT78" s="4"/>
      <c r="BU78" s="4"/>
      <c r="BV78" s="4"/>
      <c r="BW78" s="4"/>
      <c r="BX78" s="4"/>
      <c r="BY78" s="23"/>
      <c r="BZ78" s="23"/>
      <c r="CA78" s="23"/>
      <c r="CB78" s="4"/>
      <c r="CC78" s="4"/>
      <c r="CD78" s="4"/>
      <c r="CE78" s="4"/>
      <c r="CF78" s="4"/>
      <c r="CG78" s="23"/>
      <c r="CH78" s="23"/>
      <c r="CI78" s="23"/>
      <c r="CJ78" s="4"/>
      <c r="CK78" s="4"/>
      <c r="CL78" s="4"/>
      <c r="CM78" s="4"/>
      <c r="CN78" s="4"/>
      <c r="CO78" s="4"/>
      <c r="CP78" s="4"/>
    </row>
    <row r="79" spans="1:94" ht="15.75" customHeight="1">
      <c r="A79" s="1">
        <v>78</v>
      </c>
      <c r="B79" s="2">
        <v>20788</v>
      </c>
      <c r="C79" s="10">
        <v>45385</v>
      </c>
      <c r="D79" s="4">
        <v>4</v>
      </c>
      <c r="E79" s="4">
        <v>387</v>
      </c>
      <c r="F79" s="23">
        <v>1.0900000000000001</v>
      </c>
      <c r="G79" s="23">
        <v>7.13</v>
      </c>
      <c r="H79" s="23">
        <v>3.67</v>
      </c>
      <c r="I79" s="23">
        <v>20.48</v>
      </c>
      <c r="J79" s="4" t="s">
        <v>83</v>
      </c>
      <c r="K79" s="4">
        <v>44453</v>
      </c>
      <c r="L79" s="4">
        <v>75</v>
      </c>
      <c r="M79" s="23">
        <v>1.17</v>
      </c>
      <c r="N79" s="23">
        <v>6.87</v>
      </c>
      <c r="O79" s="23">
        <v>2.86</v>
      </c>
      <c r="P79" s="4" t="s">
        <v>84</v>
      </c>
      <c r="Q79" s="4">
        <v>0</v>
      </c>
      <c r="R79" s="4"/>
      <c r="S79" s="4">
        <v>43964</v>
      </c>
      <c r="T79" s="4">
        <v>140</v>
      </c>
      <c r="U79" s="23">
        <v>1</v>
      </c>
      <c r="V79" s="23">
        <v>7.15</v>
      </c>
      <c r="W79" s="23">
        <v>4.5</v>
      </c>
      <c r="X79" s="4" t="s">
        <v>84</v>
      </c>
      <c r="Y79" s="4">
        <v>0</v>
      </c>
      <c r="Z79" s="4"/>
      <c r="AA79" s="4">
        <v>43949</v>
      </c>
      <c r="AB79" s="4">
        <v>47</v>
      </c>
      <c r="AC79" s="23">
        <v>0.99</v>
      </c>
      <c r="AD79" s="23">
        <v>7.19</v>
      </c>
      <c r="AE79" s="23">
        <v>3.39</v>
      </c>
      <c r="AF79" s="4" t="s">
        <v>84</v>
      </c>
      <c r="AG79" s="4">
        <v>0</v>
      </c>
      <c r="AH79" s="4"/>
      <c r="AI79" s="4">
        <v>44146</v>
      </c>
      <c r="AJ79" s="4">
        <v>125</v>
      </c>
      <c r="AK79" s="23">
        <v>1.1000000000000001</v>
      </c>
      <c r="AL79" s="23">
        <v>7.18</v>
      </c>
      <c r="AM79" s="23">
        <v>3.46</v>
      </c>
      <c r="AN79" s="4" t="s">
        <v>84</v>
      </c>
      <c r="AO79" s="4">
        <v>0</v>
      </c>
      <c r="AP79" s="4"/>
      <c r="AQ79" s="4"/>
      <c r="AR79" s="4"/>
      <c r="AS79" s="23"/>
      <c r="AT79" s="23"/>
      <c r="AU79" s="23"/>
      <c r="AV79" s="4"/>
      <c r="AW79" s="4"/>
      <c r="AX79" s="4"/>
      <c r="AY79" s="4"/>
      <c r="AZ79" s="24"/>
      <c r="BA79" s="23"/>
      <c r="BB79" s="23"/>
      <c r="BC79" s="23"/>
      <c r="BD79" s="4"/>
      <c r="BE79" s="4"/>
      <c r="BF79" s="4"/>
      <c r="BG79" s="4"/>
      <c r="BH79" s="4"/>
      <c r="BI79" s="23"/>
      <c r="BJ79" s="23"/>
      <c r="BK79" s="23"/>
      <c r="BL79" s="4"/>
      <c r="BM79" s="4"/>
      <c r="BN79" s="4"/>
      <c r="BO79" s="4"/>
      <c r="BP79" s="4"/>
      <c r="BQ79" s="23"/>
      <c r="BR79" s="23"/>
      <c r="BS79" s="23"/>
      <c r="BT79" s="4"/>
      <c r="BU79" s="4"/>
      <c r="BV79" s="4"/>
      <c r="BW79" s="4"/>
      <c r="BX79" s="4"/>
      <c r="BY79" s="23"/>
      <c r="BZ79" s="23"/>
      <c r="CA79" s="23"/>
      <c r="CB79" s="4"/>
      <c r="CC79" s="4"/>
      <c r="CD79" s="4"/>
      <c r="CE79" s="4"/>
      <c r="CF79" s="4"/>
      <c r="CG79" s="23"/>
      <c r="CH79" s="23"/>
      <c r="CI79" s="23"/>
      <c r="CJ79" s="4"/>
      <c r="CK79" s="4"/>
      <c r="CL79" s="4"/>
      <c r="CM79" s="4"/>
      <c r="CN79" s="4"/>
      <c r="CO79" s="4"/>
      <c r="CP79" s="4"/>
    </row>
    <row r="80" spans="1:94" ht="15.75" customHeight="1">
      <c r="A80" s="1">
        <v>79</v>
      </c>
      <c r="B80" s="2">
        <v>20789</v>
      </c>
      <c r="C80" s="10">
        <v>45385</v>
      </c>
      <c r="D80" s="4">
        <v>4</v>
      </c>
      <c r="E80" s="4">
        <v>467</v>
      </c>
      <c r="F80" s="23">
        <v>1.08</v>
      </c>
      <c r="G80" s="23">
        <v>7.12</v>
      </c>
      <c r="H80" s="23">
        <v>3.54</v>
      </c>
      <c r="I80" s="23">
        <v>20.09</v>
      </c>
      <c r="J80" s="4" t="s">
        <v>83</v>
      </c>
      <c r="K80" s="4">
        <v>44074</v>
      </c>
      <c r="L80" s="4">
        <v>119</v>
      </c>
      <c r="M80" s="23">
        <v>1.1499999999999999</v>
      </c>
      <c r="N80" s="23">
        <v>7.11</v>
      </c>
      <c r="O80" s="23">
        <v>3.63</v>
      </c>
      <c r="P80" s="4" t="s">
        <v>84</v>
      </c>
      <c r="Q80" s="4">
        <v>0</v>
      </c>
      <c r="R80" s="4"/>
      <c r="S80" s="4">
        <v>44074</v>
      </c>
      <c r="T80" s="4">
        <v>98</v>
      </c>
      <c r="U80" s="23">
        <v>1.1399999999999999</v>
      </c>
      <c r="V80" s="23">
        <v>7.12</v>
      </c>
      <c r="W80" s="23">
        <v>3.77</v>
      </c>
      <c r="X80" s="4" t="s">
        <v>84</v>
      </c>
      <c r="Y80" s="4">
        <v>0</v>
      </c>
      <c r="Z80" s="4"/>
      <c r="AA80" s="4">
        <v>43371</v>
      </c>
      <c r="AB80" s="4">
        <v>138</v>
      </c>
      <c r="AC80" s="23">
        <v>1.08</v>
      </c>
      <c r="AD80" s="23">
        <v>7.08</v>
      </c>
      <c r="AE80" s="23">
        <v>4.08</v>
      </c>
      <c r="AF80" s="4" t="s">
        <v>84</v>
      </c>
      <c r="AG80" s="4">
        <v>0</v>
      </c>
      <c r="AH80" s="4"/>
      <c r="AI80" s="4">
        <v>44457</v>
      </c>
      <c r="AJ80" s="4">
        <v>113</v>
      </c>
      <c r="AK80" s="23">
        <v>0.99</v>
      </c>
      <c r="AL80" s="23">
        <v>7.03</v>
      </c>
      <c r="AM80" s="23">
        <v>2.71</v>
      </c>
      <c r="AN80" s="4" t="s">
        <v>84</v>
      </c>
      <c r="AO80" s="4">
        <v>0</v>
      </c>
      <c r="AP80" s="4"/>
      <c r="AQ80" s="4"/>
      <c r="AR80" s="4"/>
      <c r="AS80" s="23"/>
      <c r="AT80" s="23"/>
      <c r="AU80" s="23"/>
      <c r="AV80" s="4"/>
      <c r="AW80" s="4"/>
      <c r="AX80" s="4"/>
      <c r="AY80" s="4"/>
      <c r="AZ80" s="24"/>
      <c r="BA80" s="23"/>
      <c r="BB80" s="23"/>
      <c r="BC80" s="23"/>
      <c r="BD80" s="4"/>
      <c r="BE80" s="4"/>
      <c r="BF80" s="4"/>
      <c r="BG80" s="4"/>
      <c r="BH80" s="4"/>
      <c r="BI80" s="23"/>
      <c r="BJ80" s="23"/>
      <c r="BK80" s="23"/>
      <c r="BL80" s="4"/>
      <c r="BM80" s="4"/>
      <c r="BN80" s="4"/>
      <c r="BO80" s="4"/>
      <c r="BP80" s="4"/>
      <c r="BQ80" s="23"/>
      <c r="BR80" s="23"/>
      <c r="BS80" s="23"/>
      <c r="BT80" s="4"/>
      <c r="BU80" s="4"/>
      <c r="BV80" s="4"/>
      <c r="BW80" s="4"/>
      <c r="BX80" s="4"/>
      <c r="BY80" s="23"/>
      <c r="BZ80" s="23"/>
      <c r="CA80" s="23"/>
      <c r="CB80" s="4"/>
      <c r="CC80" s="4"/>
      <c r="CD80" s="4"/>
      <c r="CE80" s="4"/>
      <c r="CF80" s="4"/>
      <c r="CG80" s="23"/>
      <c r="CH80" s="23"/>
      <c r="CI80" s="23"/>
      <c r="CJ80" s="4"/>
      <c r="CK80" s="4"/>
      <c r="CL80" s="4"/>
      <c r="CM80" s="4"/>
      <c r="CN80" s="4"/>
      <c r="CO80" s="4"/>
      <c r="CP80" s="4"/>
    </row>
    <row r="81" spans="1:94" ht="15.75" customHeight="1">
      <c r="A81" s="1">
        <v>80</v>
      </c>
      <c r="B81" s="2">
        <v>20790</v>
      </c>
      <c r="C81" s="10">
        <v>45385</v>
      </c>
      <c r="D81" s="4">
        <v>4</v>
      </c>
      <c r="E81" s="4">
        <v>400</v>
      </c>
      <c r="F81" s="23">
        <v>1.1499999999999999</v>
      </c>
      <c r="G81" s="23">
        <v>7.04</v>
      </c>
      <c r="H81" s="23">
        <v>3.42</v>
      </c>
      <c r="I81" s="23">
        <v>19.78</v>
      </c>
      <c r="J81" s="4" t="s">
        <v>87</v>
      </c>
      <c r="K81" s="4">
        <v>44105</v>
      </c>
      <c r="L81" s="4">
        <v>65</v>
      </c>
      <c r="M81" s="23">
        <v>1.42</v>
      </c>
      <c r="N81" s="23">
        <v>6.5</v>
      </c>
      <c r="O81" s="23">
        <v>5.0999999999999996</v>
      </c>
      <c r="P81" s="4" t="s">
        <v>86</v>
      </c>
      <c r="Q81" s="4">
        <v>0</v>
      </c>
      <c r="R81" s="4"/>
      <c r="S81" s="4">
        <v>44234</v>
      </c>
      <c r="T81" s="4">
        <v>143</v>
      </c>
      <c r="U81" s="23">
        <v>1.1399999999999999</v>
      </c>
      <c r="V81" s="23">
        <v>6.9</v>
      </c>
      <c r="W81" s="23">
        <v>2.46</v>
      </c>
      <c r="X81" s="4" t="s">
        <v>86</v>
      </c>
      <c r="Y81" s="4">
        <v>0</v>
      </c>
      <c r="Z81" s="4"/>
      <c r="AA81" s="4">
        <v>43964</v>
      </c>
      <c r="AB81" s="4">
        <v>57</v>
      </c>
      <c r="AC81" s="23">
        <v>0.98</v>
      </c>
      <c r="AD81" s="23">
        <v>7.11</v>
      </c>
      <c r="AE81" s="23">
        <v>3.97</v>
      </c>
      <c r="AF81" s="4" t="s">
        <v>86</v>
      </c>
      <c r="AG81" s="4">
        <v>0</v>
      </c>
      <c r="AH81" s="4"/>
      <c r="AI81" s="4">
        <v>43932</v>
      </c>
      <c r="AJ81" s="4">
        <v>135</v>
      </c>
      <c r="AK81" s="23">
        <v>1.1200000000000001</v>
      </c>
      <c r="AL81" s="23">
        <v>7.28</v>
      </c>
      <c r="AM81" s="23">
        <v>3.44</v>
      </c>
      <c r="AN81" s="4" t="s">
        <v>86</v>
      </c>
      <c r="AO81" s="4">
        <v>0</v>
      </c>
      <c r="AP81" s="4"/>
      <c r="AQ81" s="4"/>
      <c r="AR81" s="4"/>
      <c r="AS81" s="23"/>
      <c r="AT81" s="23"/>
      <c r="AU81" s="23"/>
      <c r="AV81" s="4"/>
      <c r="AW81" s="4"/>
      <c r="AX81" s="4"/>
      <c r="AY81" s="4"/>
      <c r="AZ81" s="24"/>
      <c r="BA81" s="23"/>
      <c r="BB81" s="23"/>
      <c r="BC81" s="23"/>
      <c r="BD81" s="4"/>
      <c r="BE81" s="4"/>
      <c r="BF81" s="4"/>
      <c r="BG81" s="4"/>
      <c r="BH81" s="4"/>
      <c r="BI81" s="23"/>
      <c r="BJ81" s="23"/>
      <c r="BK81" s="23"/>
      <c r="BL81" s="4"/>
      <c r="BM81" s="4"/>
      <c r="BN81" s="4"/>
      <c r="BO81" s="4"/>
      <c r="BP81" s="4"/>
      <c r="BQ81" s="23"/>
      <c r="BR81" s="23"/>
      <c r="BS81" s="23"/>
      <c r="BT81" s="4"/>
      <c r="BU81" s="4"/>
      <c r="BV81" s="4"/>
      <c r="BW81" s="4"/>
      <c r="BX81" s="4"/>
      <c r="BY81" s="23"/>
      <c r="BZ81" s="23"/>
      <c r="CA81" s="23"/>
      <c r="CB81" s="4"/>
      <c r="CC81" s="4"/>
      <c r="CD81" s="4"/>
      <c r="CE81" s="4"/>
      <c r="CF81" s="4"/>
      <c r="CG81" s="23"/>
      <c r="CH81" s="23"/>
      <c r="CI81" s="23"/>
      <c r="CJ81" s="4"/>
      <c r="CK81" s="4"/>
      <c r="CL81" s="4"/>
      <c r="CM81" s="4"/>
      <c r="CN81" s="4"/>
      <c r="CO81" s="4"/>
      <c r="CP81" s="4"/>
    </row>
    <row r="82" spans="1:94" ht="15.75" customHeight="1">
      <c r="A82" s="13">
        <v>81</v>
      </c>
      <c r="B82" s="14">
        <v>20791</v>
      </c>
      <c r="C82" s="35">
        <v>45385</v>
      </c>
      <c r="D82" s="36">
        <v>4</v>
      </c>
      <c r="E82" s="36">
        <v>457</v>
      </c>
      <c r="F82" s="37">
        <v>1.24</v>
      </c>
      <c r="G82" s="37">
        <v>7.25</v>
      </c>
      <c r="H82" s="37">
        <v>3.3</v>
      </c>
      <c r="I82" s="37">
        <v>19.850000000000001</v>
      </c>
      <c r="J82" s="36" t="s">
        <v>91</v>
      </c>
      <c r="K82" s="36">
        <v>44384</v>
      </c>
      <c r="L82" s="36">
        <v>116</v>
      </c>
      <c r="M82" s="37">
        <v>1.27</v>
      </c>
      <c r="N82" s="37">
        <v>7.2</v>
      </c>
      <c r="O82" s="37">
        <v>4.17</v>
      </c>
      <c r="P82" s="36" t="s">
        <v>86</v>
      </c>
      <c r="Q82" s="36">
        <v>0</v>
      </c>
      <c r="R82" s="36"/>
      <c r="S82" s="36">
        <v>44433</v>
      </c>
      <c r="T82" s="36">
        <v>88</v>
      </c>
      <c r="U82" s="37">
        <v>1.21</v>
      </c>
      <c r="V82" s="37">
        <v>7.35</v>
      </c>
      <c r="W82" s="37">
        <v>2.08</v>
      </c>
      <c r="X82" s="36" t="s">
        <v>86</v>
      </c>
      <c r="Y82" s="36">
        <v>0</v>
      </c>
      <c r="Z82" s="36"/>
      <c r="AA82" s="36">
        <v>43949</v>
      </c>
      <c r="AB82" s="36">
        <v>112</v>
      </c>
      <c r="AC82" s="37">
        <v>1.17</v>
      </c>
      <c r="AD82" s="37">
        <v>7.17</v>
      </c>
      <c r="AE82" s="37">
        <v>3.5</v>
      </c>
      <c r="AF82" s="36" t="s">
        <v>86</v>
      </c>
      <c r="AG82" s="36">
        <v>0</v>
      </c>
      <c r="AH82" s="36"/>
      <c r="AI82" s="36">
        <v>44444</v>
      </c>
      <c r="AJ82" s="36">
        <v>140</v>
      </c>
      <c r="AK82" s="37">
        <v>1.17</v>
      </c>
      <c r="AL82" s="37">
        <v>7.26</v>
      </c>
      <c r="AM82" s="37">
        <v>3.29</v>
      </c>
      <c r="AN82" s="36" t="s">
        <v>86</v>
      </c>
      <c r="AO82" s="36">
        <v>0</v>
      </c>
      <c r="AP82" s="36"/>
      <c r="AQ82" s="36"/>
      <c r="AR82" s="36"/>
      <c r="AS82" s="37"/>
      <c r="AT82" s="37"/>
      <c r="AU82" s="37"/>
      <c r="AV82" s="36"/>
      <c r="AW82" s="36"/>
      <c r="AX82" s="36"/>
      <c r="AY82" s="36"/>
      <c r="AZ82" s="38"/>
      <c r="BA82" s="37"/>
      <c r="BB82" s="37"/>
      <c r="BC82" s="37"/>
      <c r="BD82" s="36"/>
      <c r="BE82" s="36"/>
      <c r="BF82" s="36"/>
      <c r="BG82" s="36"/>
      <c r="BH82" s="36"/>
      <c r="BI82" s="37"/>
      <c r="BJ82" s="37"/>
      <c r="BK82" s="37"/>
      <c r="BL82" s="36"/>
      <c r="BM82" s="36"/>
      <c r="BN82" s="36"/>
      <c r="BO82" s="36"/>
      <c r="BP82" s="36"/>
      <c r="BQ82" s="37"/>
      <c r="BR82" s="37"/>
      <c r="BS82" s="37"/>
      <c r="BT82" s="36"/>
      <c r="BU82" s="36"/>
      <c r="BV82" s="36"/>
      <c r="BW82" s="36"/>
      <c r="BX82" s="36"/>
      <c r="BY82" s="37"/>
      <c r="BZ82" s="37"/>
      <c r="CA82" s="37"/>
      <c r="CB82" s="36"/>
      <c r="CC82" s="36"/>
      <c r="CD82" s="36"/>
      <c r="CE82" s="36"/>
      <c r="CF82" s="36"/>
      <c r="CG82" s="37"/>
      <c r="CH82" s="37"/>
      <c r="CI82" s="37"/>
      <c r="CJ82" s="36"/>
      <c r="CK82" s="36"/>
      <c r="CL82" s="36"/>
      <c r="CM82" s="36"/>
      <c r="CN82" s="36"/>
      <c r="CO82" s="36"/>
      <c r="CP82" s="36"/>
    </row>
    <row r="83" spans="1:94" ht="15.75" customHeight="1">
      <c r="A83" s="1">
        <v>82</v>
      </c>
      <c r="B83" s="2">
        <v>20793</v>
      </c>
      <c r="C83" s="10">
        <v>45385</v>
      </c>
      <c r="D83" s="4">
        <v>3</v>
      </c>
      <c r="E83" s="4">
        <v>440</v>
      </c>
      <c r="F83" s="23">
        <v>1.27</v>
      </c>
      <c r="G83" s="23">
        <v>7.29</v>
      </c>
      <c r="H83" s="23">
        <v>3.29</v>
      </c>
      <c r="I83" s="23">
        <v>19.920000000000002</v>
      </c>
      <c r="J83" s="4" t="s">
        <v>87</v>
      </c>
      <c r="K83" s="4">
        <v>44375</v>
      </c>
      <c r="L83" s="4">
        <v>141</v>
      </c>
      <c r="M83" s="23">
        <v>1.45</v>
      </c>
      <c r="N83" s="23">
        <v>7.42</v>
      </c>
      <c r="O83" s="23">
        <v>3.42</v>
      </c>
      <c r="P83" s="4" t="s">
        <v>86</v>
      </c>
      <c r="Q83" s="4">
        <v>0</v>
      </c>
      <c r="R83" s="4"/>
      <c r="S83" s="4">
        <v>44307</v>
      </c>
      <c r="T83" s="4">
        <v>145</v>
      </c>
      <c r="U83" s="23">
        <v>1.1200000000000001</v>
      </c>
      <c r="V83" s="23">
        <v>7.12</v>
      </c>
      <c r="W83" s="23">
        <v>3.25</v>
      </c>
      <c r="X83" s="4" t="s">
        <v>86</v>
      </c>
      <c r="Y83" s="4">
        <v>0</v>
      </c>
      <c r="Z83" s="4"/>
      <c r="AA83" s="4">
        <v>44444</v>
      </c>
      <c r="AB83" s="4">
        <v>154</v>
      </c>
      <c r="AC83" s="23">
        <v>1.2</v>
      </c>
      <c r="AD83" s="23">
        <v>7.26</v>
      </c>
      <c r="AE83" s="23">
        <v>3.28</v>
      </c>
      <c r="AF83" s="4" t="s">
        <v>86</v>
      </c>
      <c r="AG83" s="4">
        <v>0</v>
      </c>
      <c r="AH83" s="4"/>
      <c r="AI83" s="4"/>
      <c r="AJ83" s="4"/>
      <c r="AK83" s="23"/>
      <c r="AL83" s="23"/>
      <c r="AM83" s="23"/>
      <c r="AN83" s="4"/>
      <c r="AO83" s="4"/>
      <c r="AP83" s="4"/>
      <c r="AQ83" s="4"/>
      <c r="AR83" s="4"/>
      <c r="AS83" s="23"/>
      <c r="AT83" s="23"/>
      <c r="AU83" s="23"/>
      <c r="AV83" s="4"/>
      <c r="AW83" s="4"/>
      <c r="AX83" s="4"/>
      <c r="AY83" s="4"/>
      <c r="AZ83" s="24"/>
      <c r="BA83" s="23"/>
      <c r="BB83" s="23"/>
      <c r="BC83" s="23"/>
      <c r="BD83" s="4"/>
      <c r="BE83" s="4"/>
      <c r="BF83" s="4"/>
      <c r="BG83" s="4"/>
      <c r="BH83" s="4"/>
      <c r="BI83" s="23"/>
      <c r="BJ83" s="23"/>
      <c r="BK83" s="23"/>
      <c r="BL83" s="4"/>
      <c r="BM83" s="4"/>
      <c r="BN83" s="4"/>
      <c r="BO83" s="4"/>
      <c r="BP83" s="4"/>
      <c r="BQ83" s="23"/>
      <c r="BR83" s="23"/>
      <c r="BS83" s="23"/>
      <c r="BT83" s="4"/>
      <c r="BU83" s="4"/>
      <c r="BV83" s="4"/>
      <c r="BW83" s="4"/>
      <c r="BX83" s="4"/>
      <c r="BY83" s="23"/>
      <c r="BZ83" s="23"/>
      <c r="CA83" s="23"/>
      <c r="CB83" s="4"/>
      <c r="CC83" s="4"/>
      <c r="CD83" s="4"/>
      <c r="CE83" s="4"/>
      <c r="CF83" s="4"/>
      <c r="CG83" s="23"/>
      <c r="CH83" s="23"/>
      <c r="CI83" s="23"/>
      <c r="CJ83" s="4"/>
      <c r="CK83" s="4"/>
      <c r="CL83" s="4"/>
      <c r="CM83" s="4"/>
      <c r="CN83" s="4"/>
      <c r="CO83" s="4"/>
      <c r="CP83" s="4"/>
    </row>
    <row r="84" spans="1:94" ht="15.75" customHeight="1">
      <c r="A84" s="18">
        <v>83</v>
      </c>
      <c r="B84" s="19">
        <v>20798</v>
      </c>
      <c r="C84" s="31">
        <v>45386</v>
      </c>
      <c r="D84" s="32">
        <v>4</v>
      </c>
      <c r="E84" s="32">
        <v>394</v>
      </c>
      <c r="F84" s="33">
        <v>1.1000000000000001</v>
      </c>
      <c r="G84" s="33">
        <v>7.16</v>
      </c>
      <c r="H84" s="33">
        <v>3.69</v>
      </c>
      <c r="I84" s="33">
        <v>20.59</v>
      </c>
      <c r="J84" s="32" t="s">
        <v>83</v>
      </c>
      <c r="K84" s="32">
        <v>44417</v>
      </c>
      <c r="L84" s="32">
        <v>93</v>
      </c>
      <c r="M84" s="33">
        <v>1.33</v>
      </c>
      <c r="N84" s="33">
        <v>7.28</v>
      </c>
      <c r="O84" s="33">
        <v>3.26</v>
      </c>
      <c r="P84" s="32" t="s">
        <v>84</v>
      </c>
      <c r="Q84" s="32">
        <v>0</v>
      </c>
      <c r="R84" s="32"/>
      <c r="S84" s="32">
        <v>43322</v>
      </c>
      <c r="T84" s="32">
        <v>71</v>
      </c>
      <c r="U84" s="33">
        <v>0.97</v>
      </c>
      <c r="V84" s="33">
        <v>6.62</v>
      </c>
      <c r="W84" s="33">
        <v>4.8899999999999997</v>
      </c>
      <c r="X84" s="32" t="s">
        <v>84</v>
      </c>
      <c r="Y84" s="32">
        <v>0</v>
      </c>
      <c r="Z84" s="32"/>
      <c r="AA84" s="32">
        <v>44183</v>
      </c>
      <c r="AB84" s="32">
        <v>98</v>
      </c>
      <c r="AC84" s="33">
        <v>1.03</v>
      </c>
      <c r="AD84" s="33">
        <v>7.2</v>
      </c>
      <c r="AE84" s="33">
        <v>3.78</v>
      </c>
      <c r="AF84" s="32" t="s">
        <v>84</v>
      </c>
      <c r="AG84" s="32">
        <v>0</v>
      </c>
      <c r="AH84" s="32"/>
      <c r="AI84" s="32">
        <v>44146</v>
      </c>
      <c r="AJ84" s="32">
        <v>132</v>
      </c>
      <c r="AK84" s="33">
        <v>1.03</v>
      </c>
      <c r="AL84" s="33">
        <v>7.18</v>
      </c>
      <c r="AM84" s="33">
        <v>3.36</v>
      </c>
      <c r="AN84" s="32" t="s">
        <v>84</v>
      </c>
      <c r="AO84" s="32">
        <v>0</v>
      </c>
      <c r="AP84" s="32"/>
      <c r="AQ84" s="32"/>
      <c r="AR84" s="32"/>
      <c r="AS84" s="33"/>
      <c r="AT84" s="33"/>
      <c r="AU84" s="33"/>
      <c r="AV84" s="32"/>
      <c r="AW84" s="32"/>
      <c r="AX84" s="32"/>
      <c r="AY84" s="32"/>
      <c r="AZ84" s="34"/>
      <c r="BA84" s="33"/>
      <c r="BB84" s="33"/>
      <c r="BC84" s="33"/>
      <c r="BD84" s="32"/>
      <c r="BE84" s="32"/>
      <c r="BF84" s="32"/>
      <c r="BG84" s="32"/>
      <c r="BH84" s="32"/>
      <c r="BI84" s="33"/>
      <c r="BJ84" s="33"/>
      <c r="BK84" s="33"/>
      <c r="BL84" s="32"/>
      <c r="BM84" s="32"/>
      <c r="BN84" s="32"/>
      <c r="BO84" s="32"/>
      <c r="BP84" s="32"/>
      <c r="BQ84" s="33"/>
      <c r="BR84" s="33"/>
      <c r="BS84" s="33"/>
      <c r="BT84" s="32"/>
      <c r="BU84" s="32"/>
      <c r="BV84" s="32"/>
      <c r="BW84" s="32"/>
      <c r="BX84" s="32"/>
      <c r="BY84" s="33"/>
      <c r="BZ84" s="33"/>
      <c r="CA84" s="33"/>
      <c r="CB84" s="32"/>
      <c r="CC84" s="32"/>
      <c r="CD84" s="32"/>
      <c r="CE84" s="32"/>
      <c r="CF84" s="32"/>
      <c r="CG84" s="33"/>
      <c r="CH84" s="33"/>
      <c r="CI84" s="33"/>
      <c r="CJ84" s="32"/>
      <c r="CK84" s="32"/>
      <c r="CL84" s="32"/>
      <c r="CM84" s="32"/>
      <c r="CN84" s="32"/>
      <c r="CO84" s="32"/>
      <c r="CP84" s="32"/>
    </row>
    <row r="85" spans="1:94" ht="15.75" customHeight="1">
      <c r="A85" s="1">
        <v>84</v>
      </c>
      <c r="B85" s="2">
        <v>20799</v>
      </c>
      <c r="C85" s="10">
        <v>45386</v>
      </c>
      <c r="D85" s="4">
        <v>5</v>
      </c>
      <c r="E85" s="4">
        <v>453</v>
      </c>
      <c r="F85" s="23">
        <v>1.0900000000000001</v>
      </c>
      <c r="G85" s="23">
        <v>7.14</v>
      </c>
      <c r="H85" s="23">
        <v>3.59</v>
      </c>
      <c r="I85" s="23">
        <v>20.27</v>
      </c>
      <c r="J85" s="4" t="s">
        <v>83</v>
      </c>
      <c r="K85" s="4">
        <v>43503</v>
      </c>
      <c r="L85" s="4">
        <v>147</v>
      </c>
      <c r="M85" s="23">
        <v>1.1399999999999999</v>
      </c>
      <c r="N85" s="23">
        <v>7.05</v>
      </c>
      <c r="O85" s="23">
        <v>4.5</v>
      </c>
      <c r="P85" s="4" t="s">
        <v>84</v>
      </c>
      <c r="Q85" s="4">
        <v>0</v>
      </c>
      <c r="R85" s="4"/>
      <c r="S85" s="4">
        <v>44074</v>
      </c>
      <c r="T85" s="4">
        <v>100</v>
      </c>
      <c r="U85" s="23">
        <v>1.08</v>
      </c>
      <c r="V85" s="23">
        <v>7.19</v>
      </c>
      <c r="W85" s="23">
        <v>2.7</v>
      </c>
      <c r="X85" s="4" t="s">
        <v>84</v>
      </c>
      <c r="Y85" s="4">
        <v>0</v>
      </c>
      <c r="Z85" s="4"/>
      <c r="AA85" s="4">
        <v>44156</v>
      </c>
      <c r="AB85" s="4">
        <v>115</v>
      </c>
      <c r="AC85" s="23">
        <v>1.07</v>
      </c>
      <c r="AD85" s="23">
        <v>7.14</v>
      </c>
      <c r="AE85" s="23">
        <v>3.51</v>
      </c>
      <c r="AF85" s="4" t="s">
        <v>84</v>
      </c>
      <c r="AG85" s="4">
        <v>0</v>
      </c>
      <c r="AH85" s="4"/>
      <c r="AI85" s="4">
        <v>44061</v>
      </c>
      <c r="AJ85" s="4">
        <v>54</v>
      </c>
      <c r="AK85" s="23">
        <v>1.05</v>
      </c>
      <c r="AL85" s="23">
        <v>6.89</v>
      </c>
      <c r="AM85" s="23">
        <v>3.5</v>
      </c>
      <c r="AN85" s="4" t="s">
        <v>84</v>
      </c>
      <c r="AO85" s="4">
        <v>0</v>
      </c>
      <c r="AP85" s="4"/>
      <c r="AQ85" s="4">
        <v>44320</v>
      </c>
      <c r="AR85" s="4">
        <v>37</v>
      </c>
      <c r="AS85" s="23">
        <v>0.99</v>
      </c>
      <c r="AT85" s="23">
        <v>7.26</v>
      </c>
      <c r="AU85" s="23">
        <v>3.35</v>
      </c>
      <c r="AV85" s="4" t="s">
        <v>84</v>
      </c>
      <c r="AW85" s="4">
        <v>0</v>
      </c>
      <c r="AX85" s="4"/>
      <c r="AY85" s="4"/>
      <c r="AZ85" s="24"/>
      <c r="BA85" s="23"/>
      <c r="BB85" s="23"/>
      <c r="BC85" s="23"/>
      <c r="BD85" s="4"/>
      <c r="BE85" s="4"/>
      <c r="BF85" s="4"/>
      <c r="BG85" s="4"/>
      <c r="BH85" s="4"/>
      <c r="BI85" s="23"/>
      <c r="BJ85" s="23"/>
      <c r="BK85" s="23"/>
      <c r="BL85" s="4"/>
      <c r="BM85" s="4"/>
      <c r="BN85" s="4"/>
      <c r="BO85" s="4"/>
      <c r="BP85" s="4"/>
      <c r="BQ85" s="23"/>
      <c r="BR85" s="23"/>
      <c r="BS85" s="23"/>
      <c r="BT85" s="4"/>
      <c r="BU85" s="4"/>
      <c r="BV85" s="4"/>
      <c r="BW85" s="4"/>
      <c r="BX85" s="4"/>
      <c r="BY85" s="23"/>
      <c r="BZ85" s="23"/>
      <c r="CA85" s="23"/>
      <c r="CB85" s="4"/>
      <c r="CC85" s="4"/>
      <c r="CD85" s="4"/>
      <c r="CE85" s="4"/>
      <c r="CF85" s="4"/>
      <c r="CG85" s="23"/>
      <c r="CH85" s="23"/>
      <c r="CI85" s="23"/>
      <c r="CJ85" s="4"/>
      <c r="CK85" s="4"/>
      <c r="CL85" s="4"/>
      <c r="CM85" s="4"/>
      <c r="CN85" s="4"/>
      <c r="CO85" s="4"/>
      <c r="CP85" s="4"/>
    </row>
    <row r="86" spans="1:94" ht="15.75" customHeight="1">
      <c r="A86" s="1">
        <v>85</v>
      </c>
      <c r="B86" s="2">
        <v>20800</v>
      </c>
      <c r="C86" s="10">
        <v>45386</v>
      </c>
      <c r="D86" s="4">
        <v>4</v>
      </c>
      <c r="E86" s="4">
        <v>479</v>
      </c>
      <c r="F86" s="23">
        <v>1.07</v>
      </c>
      <c r="G86" s="23">
        <v>7.2</v>
      </c>
      <c r="H86" s="23">
        <v>3.48</v>
      </c>
      <c r="I86" s="23">
        <v>20</v>
      </c>
      <c r="J86" s="4" t="s">
        <v>87</v>
      </c>
      <c r="K86" s="4">
        <v>44300</v>
      </c>
      <c r="L86" s="4">
        <v>58</v>
      </c>
      <c r="M86" s="23">
        <v>1.25</v>
      </c>
      <c r="N86" s="23">
        <v>7.11</v>
      </c>
      <c r="O86" s="23">
        <v>3.54</v>
      </c>
      <c r="P86" s="4" t="s">
        <v>86</v>
      </c>
      <c r="Q86" s="4">
        <v>0</v>
      </c>
      <c r="R86" s="4"/>
      <c r="S86" s="4">
        <v>44429</v>
      </c>
      <c r="T86" s="4">
        <v>148</v>
      </c>
      <c r="U86" s="23">
        <v>1.03</v>
      </c>
      <c r="V86" s="23">
        <v>7.15</v>
      </c>
      <c r="W86" s="23">
        <v>3.87</v>
      </c>
      <c r="X86" s="4" t="s">
        <v>86</v>
      </c>
      <c r="Y86" s="4">
        <v>0</v>
      </c>
      <c r="Z86" s="4"/>
      <c r="AA86" s="4">
        <v>43949</v>
      </c>
      <c r="AB86" s="4">
        <v>146</v>
      </c>
      <c r="AC86" s="23">
        <v>1.03</v>
      </c>
      <c r="AD86" s="23">
        <v>7.21</v>
      </c>
      <c r="AE86" s="23">
        <v>3.07</v>
      </c>
      <c r="AF86" s="4" t="s">
        <v>86</v>
      </c>
      <c r="AG86" s="4">
        <v>0</v>
      </c>
      <c r="AH86" s="4"/>
      <c r="AI86" s="4">
        <v>43932</v>
      </c>
      <c r="AJ86" s="4">
        <v>126</v>
      </c>
      <c r="AK86" s="23">
        <v>1.08</v>
      </c>
      <c r="AL86" s="23">
        <v>7.23</v>
      </c>
      <c r="AM86" s="23">
        <v>3.39</v>
      </c>
      <c r="AN86" s="4" t="s">
        <v>86</v>
      </c>
      <c r="AO86" s="4">
        <v>0</v>
      </c>
      <c r="AP86" s="4"/>
      <c r="AQ86" s="4"/>
      <c r="AR86" s="4"/>
      <c r="AS86" s="23"/>
      <c r="AT86" s="23"/>
      <c r="AU86" s="23"/>
      <c r="AV86" s="4"/>
      <c r="AW86" s="4"/>
      <c r="AX86" s="4"/>
      <c r="AY86" s="4"/>
      <c r="AZ86" s="24"/>
      <c r="BA86" s="23"/>
      <c r="BB86" s="23"/>
      <c r="BC86" s="23"/>
      <c r="BD86" s="4"/>
      <c r="BE86" s="4"/>
      <c r="BF86" s="4"/>
      <c r="BG86" s="4"/>
      <c r="BH86" s="4"/>
      <c r="BI86" s="23"/>
      <c r="BJ86" s="23"/>
      <c r="BK86" s="23"/>
      <c r="BL86" s="4"/>
      <c r="BM86" s="4"/>
      <c r="BN86" s="4"/>
      <c r="BO86" s="4"/>
      <c r="BP86" s="4"/>
      <c r="BQ86" s="23"/>
      <c r="BR86" s="23"/>
      <c r="BS86" s="23"/>
      <c r="BT86" s="4"/>
      <c r="BU86" s="4"/>
      <c r="BV86" s="4"/>
      <c r="BW86" s="4"/>
      <c r="BX86" s="4"/>
      <c r="BY86" s="23"/>
      <c r="BZ86" s="23"/>
      <c r="CA86" s="23"/>
      <c r="CB86" s="4"/>
      <c r="CC86" s="4"/>
      <c r="CD86" s="4"/>
      <c r="CE86" s="4"/>
      <c r="CF86" s="4"/>
      <c r="CG86" s="23"/>
      <c r="CH86" s="23"/>
      <c r="CI86" s="23"/>
      <c r="CJ86" s="4"/>
      <c r="CK86" s="4"/>
      <c r="CL86" s="4"/>
      <c r="CM86" s="4"/>
      <c r="CN86" s="4"/>
      <c r="CO86" s="4"/>
      <c r="CP86" s="4"/>
    </row>
    <row r="87" spans="1:94" ht="15.75" customHeight="1">
      <c r="A87" s="1">
        <v>86</v>
      </c>
      <c r="B87" s="2">
        <v>20801</v>
      </c>
      <c r="C87" s="10">
        <v>45386</v>
      </c>
      <c r="D87" s="4">
        <v>4</v>
      </c>
      <c r="E87" s="4">
        <v>515</v>
      </c>
      <c r="F87" s="23">
        <v>1.08</v>
      </c>
      <c r="G87" s="23">
        <v>7.16</v>
      </c>
      <c r="H87" s="23">
        <v>3.4</v>
      </c>
      <c r="I87" s="23">
        <v>19.75</v>
      </c>
      <c r="J87" s="4" t="s">
        <v>87</v>
      </c>
      <c r="K87" s="4">
        <v>44296</v>
      </c>
      <c r="L87" s="4">
        <v>79</v>
      </c>
      <c r="M87" s="23">
        <v>1.23</v>
      </c>
      <c r="N87" s="23">
        <v>7.11</v>
      </c>
      <c r="O87" s="23">
        <v>3.67</v>
      </c>
      <c r="P87" s="4" t="s">
        <v>86</v>
      </c>
      <c r="Q87" s="4">
        <v>0</v>
      </c>
      <c r="R87" s="4"/>
      <c r="S87" s="4">
        <v>44439</v>
      </c>
      <c r="T87" s="4">
        <v>146</v>
      </c>
      <c r="U87" s="23">
        <v>1.07</v>
      </c>
      <c r="V87" s="23">
        <v>7.09</v>
      </c>
      <c r="W87" s="23">
        <v>2.94</v>
      </c>
      <c r="X87" s="4" t="s">
        <v>86</v>
      </c>
      <c r="Y87" s="4">
        <v>0</v>
      </c>
      <c r="Z87" s="4"/>
      <c r="AA87" s="4">
        <v>44307</v>
      </c>
      <c r="AB87" s="4">
        <v>145</v>
      </c>
      <c r="AC87" s="23">
        <v>1</v>
      </c>
      <c r="AD87" s="23">
        <v>7.19</v>
      </c>
      <c r="AE87" s="23">
        <v>3.17</v>
      </c>
      <c r="AF87" s="4" t="s">
        <v>86</v>
      </c>
      <c r="AG87" s="4">
        <v>0</v>
      </c>
      <c r="AH87" s="4"/>
      <c r="AI87" s="4">
        <v>44322</v>
      </c>
      <c r="AJ87" s="4">
        <v>145</v>
      </c>
      <c r="AK87" s="23">
        <v>1.06</v>
      </c>
      <c r="AL87" s="23">
        <v>7.14</v>
      </c>
      <c r="AM87" s="23">
        <v>3.95</v>
      </c>
      <c r="AN87" s="4" t="s">
        <v>86</v>
      </c>
      <c r="AO87" s="4">
        <v>0</v>
      </c>
      <c r="AP87" s="4"/>
      <c r="AQ87" s="4"/>
      <c r="AR87" s="4"/>
      <c r="AS87" s="23"/>
      <c r="AT87" s="23"/>
      <c r="AU87" s="23"/>
      <c r="AV87" s="4"/>
      <c r="AW87" s="4"/>
      <c r="AX87" s="4"/>
      <c r="AY87" s="4"/>
      <c r="AZ87" s="24"/>
      <c r="BA87" s="23"/>
      <c r="BB87" s="23"/>
      <c r="BC87" s="23"/>
      <c r="BD87" s="4"/>
      <c r="BE87" s="4"/>
      <c r="BF87" s="4"/>
      <c r="BG87" s="4"/>
      <c r="BH87" s="4"/>
      <c r="BI87" s="23"/>
      <c r="BJ87" s="23"/>
      <c r="BK87" s="23"/>
      <c r="BL87" s="4"/>
      <c r="BM87" s="4"/>
      <c r="BN87" s="4"/>
      <c r="BO87" s="4"/>
      <c r="BP87" s="4"/>
      <c r="BQ87" s="23"/>
      <c r="BR87" s="23"/>
      <c r="BS87" s="23"/>
      <c r="BT87" s="4"/>
      <c r="BU87" s="4"/>
      <c r="BV87" s="4"/>
      <c r="BW87" s="4"/>
      <c r="BX87" s="4"/>
      <c r="BY87" s="23"/>
      <c r="BZ87" s="23"/>
      <c r="CA87" s="23"/>
      <c r="CB87" s="4"/>
      <c r="CC87" s="4"/>
      <c r="CD87" s="4"/>
      <c r="CE87" s="4"/>
      <c r="CF87" s="4"/>
      <c r="CG87" s="23"/>
      <c r="CH87" s="23"/>
      <c r="CI87" s="23"/>
      <c r="CJ87" s="4"/>
      <c r="CK87" s="4"/>
      <c r="CL87" s="4"/>
      <c r="CM87" s="4"/>
      <c r="CN87" s="4"/>
      <c r="CO87" s="4"/>
      <c r="CP87" s="4"/>
    </row>
    <row r="88" spans="1:94" ht="15.75" customHeight="1">
      <c r="A88" s="1">
        <v>87</v>
      </c>
      <c r="B88" s="2">
        <v>20802</v>
      </c>
      <c r="C88" s="10">
        <v>45386</v>
      </c>
      <c r="D88" s="4">
        <v>4</v>
      </c>
      <c r="E88" s="4">
        <v>463</v>
      </c>
      <c r="F88" s="23">
        <v>1.1100000000000001</v>
      </c>
      <c r="G88" s="23">
        <v>7.25</v>
      </c>
      <c r="H88" s="23">
        <v>3.46</v>
      </c>
      <c r="I88" s="23">
        <v>20.07</v>
      </c>
      <c r="J88" s="4" t="s">
        <v>87</v>
      </c>
      <c r="K88" s="4">
        <v>44395</v>
      </c>
      <c r="L88" s="4">
        <v>89</v>
      </c>
      <c r="M88" s="23">
        <v>1.18</v>
      </c>
      <c r="N88" s="23">
        <v>7.22</v>
      </c>
      <c r="O88" s="23">
        <v>3.48</v>
      </c>
      <c r="P88" s="4" t="s">
        <v>86</v>
      </c>
      <c r="Q88" s="4">
        <v>0</v>
      </c>
      <c r="R88" s="4"/>
      <c r="S88" s="4">
        <v>44266</v>
      </c>
      <c r="T88" s="4">
        <v>91</v>
      </c>
      <c r="U88" s="23">
        <v>1.1200000000000001</v>
      </c>
      <c r="V88" s="23">
        <v>7.22</v>
      </c>
      <c r="W88" s="23">
        <v>2.7</v>
      </c>
      <c r="X88" s="4" t="s">
        <v>86</v>
      </c>
      <c r="Y88" s="4">
        <v>0</v>
      </c>
      <c r="Z88" s="4"/>
      <c r="AA88" s="4">
        <v>44384</v>
      </c>
      <c r="AB88" s="4">
        <v>133</v>
      </c>
      <c r="AC88" s="23">
        <v>1.1100000000000001</v>
      </c>
      <c r="AD88" s="23">
        <v>7</v>
      </c>
      <c r="AE88" s="23">
        <v>4.1399999999999997</v>
      </c>
      <c r="AF88" s="4" t="s">
        <v>86</v>
      </c>
      <c r="AG88" s="4">
        <v>0</v>
      </c>
      <c r="AH88" s="4"/>
      <c r="AI88" s="4">
        <v>44183</v>
      </c>
      <c r="AJ88" s="4">
        <v>150</v>
      </c>
      <c r="AK88" s="23">
        <v>1.05</v>
      </c>
      <c r="AL88" s="23">
        <v>7.32</v>
      </c>
      <c r="AM88" s="23">
        <v>3.55</v>
      </c>
      <c r="AN88" s="4" t="s">
        <v>86</v>
      </c>
      <c r="AO88" s="4">
        <v>0</v>
      </c>
      <c r="AP88" s="4"/>
      <c r="AQ88" s="4"/>
      <c r="AR88" s="4"/>
      <c r="AS88" s="23"/>
      <c r="AT88" s="23"/>
      <c r="AU88" s="23"/>
      <c r="AV88" s="4"/>
      <c r="AW88" s="4"/>
      <c r="AX88" s="4"/>
      <c r="AY88" s="4"/>
      <c r="AZ88" s="24"/>
      <c r="BA88" s="23"/>
      <c r="BB88" s="23"/>
      <c r="BC88" s="23"/>
      <c r="BD88" s="4"/>
      <c r="BE88" s="4"/>
      <c r="BF88" s="4"/>
      <c r="BG88" s="4"/>
      <c r="BH88" s="4"/>
      <c r="BI88" s="23"/>
      <c r="BJ88" s="23"/>
      <c r="BK88" s="23"/>
      <c r="BL88" s="4"/>
      <c r="BM88" s="4"/>
      <c r="BN88" s="4"/>
      <c r="BO88" s="4"/>
      <c r="BP88" s="4"/>
      <c r="BQ88" s="23"/>
      <c r="BR88" s="23"/>
      <c r="BS88" s="23"/>
      <c r="BT88" s="4"/>
      <c r="BU88" s="4"/>
      <c r="BV88" s="4"/>
      <c r="BW88" s="4"/>
      <c r="BX88" s="4"/>
      <c r="BY88" s="23"/>
      <c r="BZ88" s="23"/>
      <c r="CA88" s="23"/>
      <c r="CB88" s="4"/>
      <c r="CC88" s="4"/>
      <c r="CD88" s="4"/>
      <c r="CE88" s="4"/>
      <c r="CF88" s="4"/>
      <c r="CG88" s="23"/>
      <c r="CH88" s="23"/>
      <c r="CI88" s="23"/>
      <c r="CJ88" s="4"/>
      <c r="CK88" s="4"/>
      <c r="CL88" s="4"/>
      <c r="CM88" s="4"/>
      <c r="CN88" s="4"/>
      <c r="CO88" s="4"/>
      <c r="CP88" s="4"/>
    </row>
    <row r="89" spans="1:94" ht="15.75" customHeight="1">
      <c r="A89" s="1">
        <v>88</v>
      </c>
      <c r="B89" s="2">
        <v>20806</v>
      </c>
      <c r="C89" s="10">
        <v>45387</v>
      </c>
      <c r="D89" s="4">
        <v>3</v>
      </c>
      <c r="E89" s="4">
        <v>339</v>
      </c>
      <c r="F89" s="23">
        <v>1.23</v>
      </c>
      <c r="G89" s="23">
        <v>7.09</v>
      </c>
      <c r="H89" s="23">
        <v>4.0999999999999996</v>
      </c>
      <c r="I89" s="23">
        <v>21.68</v>
      </c>
      <c r="J89" s="4" t="s">
        <v>90</v>
      </c>
      <c r="K89" s="4">
        <v>44442</v>
      </c>
      <c r="L89" s="4">
        <v>90</v>
      </c>
      <c r="M89" s="23">
        <v>1.3</v>
      </c>
      <c r="N89" s="23">
        <v>6.9</v>
      </c>
      <c r="O89" s="23">
        <v>4.03</v>
      </c>
      <c r="P89" s="4" t="s">
        <v>86</v>
      </c>
      <c r="Q89" s="4">
        <v>0</v>
      </c>
      <c r="R89" s="4"/>
      <c r="S89" s="4">
        <v>44319</v>
      </c>
      <c r="T89" s="4">
        <v>123</v>
      </c>
      <c r="U89" s="23">
        <v>1.1499999999999999</v>
      </c>
      <c r="V89" s="23">
        <v>7.04</v>
      </c>
      <c r="W89" s="23">
        <v>4.91</v>
      </c>
      <c r="X89" s="4" t="s">
        <v>86</v>
      </c>
      <c r="Y89" s="4">
        <v>0</v>
      </c>
      <c r="Z89" s="4"/>
      <c r="AA89" s="4">
        <v>44444</v>
      </c>
      <c r="AB89" s="4">
        <v>126</v>
      </c>
      <c r="AC89" s="23">
        <v>1.17</v>
      </c>
      <c r="AD89" s="23">
        <v>7.23</v>
      </c>
      <c r="AE89" s="23">
        <v>3.59</v>
      </c>
      <c r="AF89" s="4" t="s">
        <v>86</v>
      </c>
      <c r="AG89" s="4">
        <v>0</v>
      </c>
      <c r="AH89" s="4"/>
      <c r="AI89" s="4"/>
      <c r="AJ89" s="4"/>
      <c r="AK89" s="23"/>
      <c r="AL89" s="23"/>
      <c r="AM89" s="23"/>
      <c r="AN89" s="4"/>
      <c r="AO89" s="4"/>
      <c r="AP89" s="4"/>
      <c r="AQ89" s="4"/>
      <c r="AR89" s="4"/>
      <c r="AS89" s="23"/>
      <c r="AT89" s="23"/>
      <c r="AU89" s="23"/>
      <c r="AV89" s="4"/>
      <c r="AW89" s="4"/>
      <c r="AX89" s="4"/>
      <c r="AY89" s="4"/>
      <c r="AZ89" s="24"/>
      <c r="BA89" s="23"/>
      <c r="BB89" s="23"/>
      <c r="BC89" s="23"/>
      <c r="BD89" s="4"/>
      <c r="BE89" s="4"/>
      <c r="BF89" s="4"/>
      <c r="BG89" s="4"/>
      <c r="BH89" s="4"/>
      <c r="BI89" s="23"/>
      <c r="BJ89" s="23"/>
      <c r="BK89" s="23"/>
      <c r="BL89" s="4"/>
      <c r="BM89" s="4"/>
      <c r="BN89" s="4"/>
      <c r="BO89" s="4"/>
      <c r="BP89" s="4"/>
      <c r="BQ89" s="23"/>
      <c r="BR89" s="23"/>
      <c r="BS89" s="23"/>
      <c r="BT89" s="4"/>
      <c r="BU89" s="4"/>
      <c r="BV89" s="4"/>
      <c r="BW89" s="4"/>
      <c r="BX89" s="4"/>
      <c r="BY89" s="23"/>
      <c r="BZ89" s="23"/>
      <c r="CA89" s="23"/>
      <c r="CB89" s="4"/>
      <c r="CC89" s="4"/>
      <c r="CD89" s="4"/>
      <c r="CE89" s="4"/>
      <c r="CF89" s="4"/>
      <c r="CG89" s="23"/>
      <c r="CH89" s="23"/>
      <c r="CI89" s="23"/>
      <c r="CJ89" s="4"/>
      <c r="CK89" s="4"/>
      <c r="CL89" s="4"/>
      <c r="CM89" s="4"/>
      <c r="CN89" s="4"/>
      <c r="CO89" s="4"/>
      <c r="CP89" s="4"/>
    </row>
    <row r="90" spans="1:94" ht="15.75" customHeight="1">
      <c r="A90" s="1">
        <v>89</v>
      </c>
      <c r="B90" s="2">
        <v>20807</v>
      </c>
      <c r="C90" s="10">
        <v>45387</v>
      </c>
      <c r="D90" s="4">
        <v>4</v>
      </c>
      <c r="E90" s="4">
        <v>549</v>
      </c>
      <c r="F90" s="23">
        <v>1.21</v>
      </c>
      <c r="G90" s="23">
        <v>7.22</v>
      </c>
      <c r="H90" s="23">
        <v>3.41</v>
      </c>
      <c r="I90" s="23">
        <v>20.07</v>
      </c>
      <c r="J90" s="4" t="s">
        <v>87</v>
      </c>
      <c r="K90" s="4">
        <v>44408</v>
      </c>
      <c r="L90" s="4">
        <v>138</v>
      </c>
      <c r="M90" s="23">
        <v>1.93</v>
      </c>
      <c r="N90" s="23">
        <v>7.34</v>
      </c>
      <c r="O90" s="23">
        <v>3.77</v>
      </c>
      <c r="P90" s="4" t="s">
        <v>86</v>
      </c>
      <c r="Q90" s="4">
        <v>0</v>
      </c>
      <c r="R90" s="4"/>
      <c r="S90" s="4">
        <v>44290</v>
      </c>
      <c r="T90" s="4">
        <v>149</v>
      </c>
      <c r="U90" s="23">
        <v>0.87</v>
      </c>
      <c r="V90" s="23">
        <v>7.15</v>
      </c>
      <c r="W90" s="23">
        <v>2.77</v>
      </c>
      <c r="X90" s="4" t="s">
        <v>86</v>
      </c>
      <c r="Y90" s="4">
        <v>0</v>
      </c>
      <c r="Z90" s="4"/>
      <c r="AA90" s="4">
        <v>44322</v>
      </c>
      <c r="AB90" s="4">
        <v>130</v>
      </c>
      <c r="AC90" s="23">
        <v>0.97</v>
      </c>
      <c r="AD90" s="23">
        <v>7.17</v>
      </c>
      <c r="AE90" s="23">
        <v>4.17</v>
      </c>
      <c r="AF90" s="4" t="s">
        <v>86</v>
      </c>
      <c r="AG90" s="4">
        <v>0</v>
      </c>
      <c r="AH90" s="4"/>
      <c r="AI90" s="4">
        <v>44307</v>
      </c>
      <c r="AJ90" s="4">
        <v>132</v>
      </c>
      <c r="AK90" s="23">
        <v>1.01</v>
      </c>
      <c r="AL90" s="23">
        <v>7.16</v>
      </c>
      <c r="AM90" s="23">
        <v>3.4</v>
      </c>
      <c r="AN90" s="4" t="s">
        <v>86</v>
      </c>
      <c r="AO90" s="4">
        <v>0</v>
      </c>
      <c r="AP90" s="4"/>
      <c r="AQ90" s="4"/>
      <c r="AR90" s="4"/>
      <c r="AS90" s="23"/>
      <c r="AT90" s="23"/>
      <c r="AU90" s="23"/>
      <c r="AV90" s="4"/>
      <c r="AW90" s="4"/>
      <c r="AX90" s="4"/>
      <c r="AY90" s="4"/>
      <c r="AZ90" s="24"/>
      <c r="BA90" s="23"/>
      <c r="BB90" s="23"/>
      <c r="BC90" s="23"/>
      <c r="BD90" s="4"/>
      <c r="BE90" s="4"/>
      <c r="BF90" s="4"/>
      <c r="BG90" s="4"/>
      <c r="BH90" s="4"/>
      <c r="BI90" s="23"/>
      <c r="BJ90" s="23"/>
      <c r="BK90" s="23"/>
      <c r="BL90" s="4"/>
      <c r="BM90" s="4"/>
      <c r="BN90" s="4"/>
      <c r="BO90" s="4"/>
      <c r="BP90" s="4"/>
      <c r="BQ90" s="23"/>
      <c r="BR90" s="23"/>
      <c r="BS90" s="23"/>
      <c r="BT90" s="4"/>
      <c r="BU90" s="4"/>
      <c r="BV90" s="4"/>
      <c r="BW90" s="4"/>
      <c r="BX90" s="4"/>
      <c r="BY90" s="23"/>
      <c r="BZ90" s="23"/>
      <c r="CA90" s="23"/>
      <c r="CB90" s="4"/>
      <c r="CC90" s="4"/>
      <c r="CD90" s="4"/>
      <c r="CE90" s="4"/>
      <c r="CF90" s="4"/>
      <c r="CG90" s="23"/>
      <c r="CH90" s="23"/>
      <c r="CI90" s="23"/>
      <c r="CJ90" s="4"/>
      <c r="CK90" s="4"/>
      <c r="CL90" s="4"/>
      <c r="CM90" s="4"/>
      <c r="CN90" s="4"/>
      <c r="CO90" s="4"/>
      <c r="CP90" s="4"/>
    </row>
    <row r="91" spans="1:94" ht="15.75" customHeight="1">
      <c r="A91" s="1">
        <v>90</v>
      </c>
      <c r="B91" s="2">
        <v>20810</v>
      </c>
      <c r="C91" s="10">
        <v>45387</v>
      </c>
      <c r="D91" s="4">
        <v>5</v>
      </c>
      <c r="E91" s="4">
        <v>531</v>
      </c>
      <c r="F91" s="23">
        <v>1.0900000000000001</v>
      </c>
      <c r="G91" s="23">
        <v>7.09</v>
      </c>
      <c r="H91" s="23">
        <v>3.5</v>
      </c>
      <c r="I91" s="23">
        <v>19.96</v>
      </c>
      <c r="J91" s="4" t="s">
        <v>83</v>
      </c>
      <c r="K91" s="4">
        <v>43992</v>
      </c>
      <c r="L91" s="4">
        <v>129</v>
      </c>
      <c r="M91" s="23">
        <v>1.3</v>
      </c>
      <c r="N91" s="23">
        <v>7.1</v>
      </c>
      <c r="O91" s="23">
        <v>4.09</v>
      </c>
      <c r="P91" s="4" t="s">
        <v>84</v>
      </c>
      <c r="Q91" s="4">
        <v>0</v>
      </c>
      <c r="R91" s="4"/>
      <c r="S91" s="4">
        <v>43717</v>
      </c>
      <c r="T91" s="4">
        <v>103</v>
      </c>
      <c r="U91" s="23">
        <v>0.93</v>
      </c>
      <c r="V91" s="23">
        <v>6.96</v>
      </c>
      <c r="W91" s="23">
        <v>3.4</v>
      </c>
      <c r="X91" s="4" t="s">
        <v>84</v>
      </c>
      <c r="Y91" s="4">
        <v>0</v>
      </c>
      <c r="Z91" s="4"/>
      <c r="AA91" s="4">
        <v>44229</v>
      </c>
      <c r="AB91" s="4">
        <v>96</v>
      </c>
      <c r="AC91" s="23">
        <v>1.01</v>
      </c>
      <c r="AD91" s="23">
        <v>7.13</v>
      </c>
      <c r="AE91" s="23">
        <v>2.67</v>
      </c>
      <c r="AF91" s="4" t="s">
        <v>84</v>
      </c>
      <c r="AG91" s="4">
        <v>0</v>
      </c>
      <c r="AH91" s="4"/>
      <c r="AI91" s="4">
        <v>44012</v>
      </c>
      <c r="AJ91" s="4">
        <v>147</v>
      </c>
      <c r="AK91" s="23">
        <v>1.01</v>
      </c>
      <c r="AL91" s="23">
        <v>7.05</v>
      </c>
      <c r="AM91" s="23">
        <v>3.93</v>
      </c>
      <c r="AN91" s="4" t="s">
        <v>84</v>
      </c>
      <c r="AO91" s="4">
        <v>0</v>
      </c>
      <c r="AP91" s="4"/>
      <c r="AQ91" s="4">
        <v>43417</v>
      </c>
      <c r="AR91" s="4">
        <v>55</v>
      </c>
      <c r="AS91" s="23">
        <v>1.06</v>
      </c>
      <c r="AT91" s="23">
        <v>7.05</v>
      </c>
      <c r="AU91" s="23">
        <v>2.75</v>
      </c>
      <c r="AV91" s="4" t="s">
        <v>84</v>
      </c>
      <c r="AW91" s="4">
        <v>0</v>
      </c>
      <c r="AX91" s="4"/>
      <c r="AY91" s="4"/>
      <c r="AZ91" s="24"/>
      <c r="BA91" s="23"/>
      <c r="BB91" s="23"/>
      <c r="BC91" s="23"/>
      <c r="BD91" s="4"/>
      <c r="BE91" s="4"/>
      <c r="BF91" s="4"/>
      <c r="BG91" s="4"/>
      <c r="BH91" s="4"/>
      <c r="BI91" s="23"/>
      <c r="BJ91" s="23"/>
      <c r="BK91" s="23"/>
      <c r="BL91" s="4"/>
      <c r="BM91" s="4"/>
      <c r="BN91" s="4"/>
      <c r="BO91" s="4"/>
      <c r="BP91" s="4"/>
      <c r="BQ91" s="23"/>
      <c r="BR91" s="23"/>
      <c r="BS91" s="23"/>
      <c r="BT91" s="4"/>
      <c r="BU91" s="4"/>
      <c r="BV91" s="4"/>
      <c r="BW91" s="4"/>
      <c r="BX91" s="4"/>
      <c r="BY91" s="23"/>
      <c r="BZ91" s="23"/>
      <c r="CA91" s="23"/>
      <c r="CB91" s="4"/>
      <c r="CC91" s="4"/>
      <c r="CD91" s="4"/>
      <c r="CE91" s="4"/>
      <c r="CF91" s="4"/>
      <c r="CG91" s="23"/>
      <c r="CH91" s="23"/>
      <c r="CI91" s="23"/>
      <c r="CJ91" s="4"/>
      <c r="CK91" s="4"/>
      <c r="CL91" s="4"/>
      <c r="CM91" s="4"/>
      <c r="CN91" s="4"/>
      <c r="CO91" s="4"/>
      <c r="CP91" s="4"/>
    </row>
    <row r="92" spans="1:94" ht="15.75" customHeight="1">
      <c r="A92" s="1">
        <v>91</v>
      </c>
      <c r="B92" s="2">
        <v>20811</v>
      </c>
      <c r="C92" s="10">
        <v>45387</v>
      </c>
      <c r="D92" s="4">
        <v>3</v>
      </c>
      <c r="E92" s="4">
        <v>349</v>
      </c>
      <c r="F92" s="23">
        <v>1.08</v>
      </c>
      <c r="G92" s="23">
        <v>7.09</v>
      </c>
      <c r="H92" s="23">
        <v>3.59</v>
      </c>
      <c r="I92" s="23">
        <v>20.190000000000001</v>
      </c>
      <c r="J92" s="4" t="s">
        <v>89</v>
      </c>
      <c r="K92" s="4">
        <v>43375</v>
      </c>
      <c r="L92" s="4">
        <v>125</v>
      </c>
      <c r="M92" s="23">
        <v>1.19</v>
      </c>
      <c r="N92" s="23">
        <v>7.14</v>
      </c>
      <c r="O92" s="23">
        <v>4.5999999999999996</v>
      </c>
      <c r="P92" s="4" t="s">
        <v>84</v>
      </c>
      <c r="Q92" s="4">
        <v>0</v>
      </c>
      <c r="R92" s="4"/>
      <c r="S92" s="4">
        <v>43949</v>
      </c>
      <c r="T92" s="4">
        <v>131</v>
      </c>
      <c r="U92" s="23">
        <v>0.95</v>
      </c>
      <c r="V92" s="23">
        <v>7.04</v>
      </c>
      <c r="W92" s="23">
        <v>3.06</v>
      </c>
      <c r="X92" s="4" t="s">
        <v>84</v>
      </c>
      <c r="Y92" s="4">
        <v>0</v>
      </c>
      <c r="Z92" s="4"/>
      <c r="AA92" s="4">
        <v>44137</v>
      </c>
      <c r="AB92" s="4">
        <v>93</v>
      </c>
      <c r="AC92" s="23">
        <v>1.08</v>
      </c>
      <c r="AD92" s="23">
        <v>6.97</v>
      </c>
      <c r="AE92" s="23">
        <v>2.85</v>
      </c>
      <c r="AF92" s="4" t="s">
        <v>84</v>
      </c>
      <c r="AG92" s="4">
        <v>0</v>
      </c>
      <c r="AH92" s="4"/>
      <c r="AI92" s="4"/>
      <c r="AJ92" s="4"/>
      <c r="AK92" s="23"/>
      <c r="AL92" s="23"/>
      <c r="AM92" s="23"/>
      <c r="AN92" s="4"/>
      <c r="AO92" s="4"/>
      <c r="AP92" s="4"/>
      <c r="AQ92" s="4"/>
      <c r="AR92" s="4"/>
      <c r="AS92" s="23"/>
      <c r="AT92" s="23"/>
      <c r="AU92" s="23"/>
      <c r="AV92" s="4"/>
      <c r="AW92" s="4"/>
      <c r="AX92" s="4"/>
      <c r="AY92" s="4"/>
      <c r="AZ92" s="24"/>
      <c r="BA92" s="23"/>
      <c r="BB92" s="23"/>
      <c r="BC92" s="23"/>
      <c r="BD92" s="4"/>
      <c r="BE92" s="4"/>
      <c r="BF92" s="4"/>
      <c r="BG92" s="4"/>
      <c r="BH92" s="4"/>
      <c r="BI92" s="23"/>
      <c r="BJ92" s="23"/>
      <c r="BK92" s="23"/>
      <c r="BL92" s="4"/>
      <c r="BM92" s="4"/>
      <c r="BN92" s="4"/>
      <c r="BO92" s="4"/>
      <c r="BP92" s="4"/>
      <c r="BQ92" s="23"/>
      <c r="BR92" s="23"/>
      <c r="BS92" s="23"/>
      <c r="BT92" s="4"/>
      <c r="BU92" s="4"/>
      <c r="BV92" s="4"/>
      <c r="BW92" s="4"/>
      <c r="BX92" s="4"/>
      <c r="BY92" s="23"/>
      <c r="BZ92" s="23"/>
      <c r="CA92" s="23"/>
      <c r="CB92" s="4"/>
      <c r="CC92" s="4"/>
      <c r="CD92" s="4"/>
      <c r="CE92" s="4"/>
      <c r="CF92" s="4"/>
      <c r="CG92" s="23"/>
      <c r="CH92" s="23"/>
      <c r="CI92" s="23"/>
      <c r="CJ92" s="4"/>
      <c r="CK92" s="4"/>
      <c r="CL92" s="4"/>
      <c r="CM92" s="4"/>
      <c r="CN92" s="4"/>
      <c r="CO92" s="4"/>
      <c r="CP92" s="4"/>
    </row>
    <row r="93" spans="1:94" ht="15.75" customHeight="1">
      <c r="A93" s="1">
        <v>92</v>
      </c>
      <c r="B93" s="2">
        <v>20812</v>
      </c>
      <c r="C93" s="10">
        <v>45387</v>
      </c>
      <c r="D93" s="4">
        <v>5</v>
      </c>
      <c r="E93" s="4">
        <v>563</v>
      </c>
      <c r="F93" s="23">
        <v>1.1100000000000001</v>
      </c>
      <c r="G93" s="23">
        <v>7.1</v>
      </c>
      <c r="H93" s="23">
        <v>3.4</v>
      </c>
      <c r="I93" s="23">
        <v>19.73</v>
      </c>
      <c r="J93" s="4" t="s">
        <v>83</v>
      </c>
      <c r="K93" s="4">
        <v>43375</v>
      </c>
      <c r="L93" s="4">
        <v>141</v>
      </c>
      <c r="M93" s="23">
        <v>1.17</v>
      </c>
      <c r="N93" s="23">
        <v>7.17</v>
      </c>
      <c r="O93" s="23">
        <v>4.5999999999999996</v>
      </c>
      <c r="P93" s="4" t="s">
        <v>84</v>
      </c>
      <c r="Q93" s="4">
        <v>0</v>
      </c>
      <c r="R93" s="4"/>
      <c r="S93" s="4">
        <v>44453</v>
      </c>
      <c r="T93" s="4">
        <v>142</v>
      </c>
      <c r="U93" s="23">
        <v>1.1599999999999999</v>
      </c>
      <c r="V93" s="23">
        <v>6.95</v>
      </c>
      <c r="W93" s="23">
        <v>2.72</v>
      </c>
      <c r="X93" s="4" t="s">
        <v>84</v>
      </c>
      <c r="Y93" s="4">
        <v>0</v>
      </c>
      <c r="Z93" s="4"/>
      <c r="AA93" s="4">
        <v>44229</v>
      </c>
      <c r="AB93" s="4">
        <v>135</v>
      </c>
      <c r="AC93" s="23">
        <v>0.87</v>
      </c>
      <c r="AD93" s="23">
        <v>7.18</v>
      </c>
      <c r="AE93" s="23">
        <v>2.9</v>
      </c>
      <c r="AF93" s="4" t="s">
        <v>84</v>
      </c>
      <c r="AG93" s="4">
        <v>0</v>
      </c>
      <c r="AH93" s="4"/>
      <c r="AI93" s="4">
        <v>44296</v>
      </c>
      <c r="AJ93" s="4">
        <v>50</v>
      </c>
      <c r="AK93" s="23">
        <v>1.1499999999999999</v>
      </c>
      <c r="AL93" s="23">
        <v>7.12</v>
      </c>
      <c r="AM93" s="23">
        <v>3.91</v>
      </c>
      <c r="AN93" s="4" t="s">
        <v>84</v>
      </c>
      <c r="AO93" s="4">
        <v>0</v>
      </c>
      <c r="AP93" s="4"/>
      <c r="AQ93" s="4">
        <v>44417</v>
      </c>
      <c r="AR93" s="4">
        <v>96</v>
      </c>
      <c r="AS93" s="23">
        <v>1.1599999999999999</v>
      </c>
      <c r="AT93" s="23">
        <v>7.02</v>
      </c>
      <c r="AU93" s="23">
        <v>3.15</v>
      </c>
      <c r="AV93" s="4" t="s">
        <v>84</v>
      </c>
      <c r="AW93" s="4">
        <v>0</v>
      </c>
      <c r="AX93" s="4"/>
      <c r="AY93" s="4"/>
      <c r="AZ93" s="24"/>
      <c r="BA93" s="23"/>
      <c r="BB93" s="23"/>
      <c r="BC93" s="23"/>
      <c r="BD93" s="4"/>
      <c r="BE93" s="4"/>
      <c r="BF93" s="4"/>
      <c r="BG93" s="4"/>
      <c r="BH93" s="4"/>
      <c r="BI93" s="23"/>
      <c r="BJ93" s="23"/>
      <c r="BK93" s="23"/>
      <c r="BL93" s="4"/>
      <c r="BM93" s="4"/>
      <c r="BN93" s="4"/>
      <c r="BO93" s="4"/>
      <c r="BP93" s="4"/>
      <c r="BQ93" s="23"/>
      <c r="BR93" s="23"/>
      <c r="BS93" s="23"/>
      <c r="BT93" s="4"/>
      <c r="BU93" s="4"/>
      <c r="BV93" s="4"/>
      <c r="BW93" s="4"/>
      <c r="BX93" s="4"/>
      <c r="BY93" s="23"/>
      <c r="BZ93" s="23"/>
      <c r="CA93" s="23"/>
      <c r="CB93" s="4"/>
      <c r="CC93" s="4"/>
      <c r="CD93" s="4"/>
      <c r="CE93" s="4"/>
      <c r="CF93" s="4"/>
      <c r="CG93" s="23"/>
      <c r="CH93" s="23"/>
      <c r="CI93" s="23"/>
      <c r="CJ93" s="4"/>
      <c r="CK93" s="4"/>
      <c r="CL93" s="4"/>
      <c r="CM93" s="4"/>
      <c r="CN93" s="4"/>
      <c r="CO93" s="4"/>
      <c r="CP93" s="4"/>
    </row>
    <row r="94" spans="1:94" ht="15.75" customHeight="1">
      <c r="A94" s="1">
        <v>93</v>
      </c>
      <c r="B94" s="2">
        <v>20813</v>
      </c>
      <c r="C94" s="10">
        <v>45387</v>
      </c>
      <c r="D94" s="4">
        <v>4</v>
      </c>
      <c r="E94" s="4">
        <v>311</v>
      </c>
      <c r="F94" s="23">
        <v>1.1100000000000001</v>
      </c>
      <c r="G94" s="23">
        <v>6.87</v>
      </c>
      <c r="H94" s="23">
        <v>3.51</v>
      </c>
      <c r="I94" s="23">
        <v>19.760000000000002</v>
      </c>
      <c r="J94" s="4" t="s">
        <v>89</v>
      </c>
      <c r="K94" s="4">
        <v>44319</v>
      </c>
      <c r="L94" s="4">
        <v>47</v>
      </c>
      <c r="M94" s="23">
        <v>1.24</v>
      </c>
      <c r="N94" s="23">
        <v>6.37</v>
      </c>
      <c r="O94" s="23">
        <v>6.51</v>
      </c>
      <c r="P94" s="4" t="s">
        <v>84</v>
      </c>
      <c r="Q94" s="4">
        <v>0</v>
      </c>
      <c r="R94" s="4"/>
      <c r="S94" s="4">
        <v>44074</v>
      </c>
      <c r="T94" s="4">
        <v>64</v>
      </c>
      <c r="U94" s="23">
        <v>1.02</v>
      </c>
      <c r="V94" s="23">
        <v>7.08</v>
      </c>
      <c r="W94" s="23">
        <v>3.32</v>
      </c>
      <c r="X94" s="4" t="s">
        <v>84</v>
      </c>
      <c r="Y94" s="4">
        <v>0</v>
      </c>
      <c r="Z94" s="4"/>
      <c r="AA94" s="4">
        <v>43417</v>
      </c>
      <c r="AB94" s="4">
        <v>95</v>
      </c>
      <c r="AC94" s="23">
        <v>1.07</v>
      </c>
      <c r="AD94" s="23">
        <v>6.75</v>
      </c>
      <c r="AE94" s="23">
        <v>3.03</v>
      </c>
      <c r="AF94" s="4" t="s">
        <v>84</v>
      </c>
      <c r="AG94" s="4">
        <v>0</v>
      </c>
      <c r="AH94" s="4"/>
      <c r="AI94" s="4">
        <v>43417</v>
      </c>
      <c r="AJ94" s="4">
        <v>105</v>
      </c>
      <c r="AK94" s="23">
        <v>1.07</v>
      </c>
      <c r="AL94" s="23">
        <v>7.02</v>
      </c>
      <c r="AM94" s="23">
        <v>2.82</v>
      </c>
      <c r="AN94" s="4" t="s">
        <v>84</v>
      </c>
      <c r="AO94" s="4">
        <v>0</v>
      </c>
      <c r="AP94" s="4"/>
      <c r="AQ94" s="4"/>
      <c r="AR94" s="4"/>
      <c r="AS94" s="23"/>
      <c r="AT94" s="23"/>
      <c r="AU94" s="23"/>
      <c r="AV94" s="4"/>
      <c r="AW94" s="4"/>
      <c r="AX94" s="4"/>
      <c r="AY94" s="4"/>
      <c r="AZ94" s="24"/>
      <c r="BA94" s="23"/>
      <c r="BB94" s="23"/>
      <c r="BC94" s="23"/>
      <c r="BD94" s="4"/>
      <c r="BE94" s="4"/>
      <c r="BF94" s="4"/>
      <c r="BG94" s="4"/>
      <c r="BH94" s="4"/>
      <c r="BI94" s="23"/>
      <c r="BJ94" s="23"/>
      <c r="BK94" s="23"/>
      <c r="BL94" s="4"/>
      <c r="BM94" s="4"/>
      <c r="BN94" s="4"/>
      <c r="BO94" s="4"/>
      <c r="BP94" s="4"/>
      <c r="BQ94" s="23"/>
      <c r="BR94" s="23"/>
      <c r="BS94" s="23"/>
      <c r="BT94" s="4"/>
      <c r="BU94" s="4"/>
      <c r="BV94" s="4"/>
      <c r="BW94" s="4"/>
      <c r="BX94" s="4"/>
      <c r="BY94" s="23"/>
      <c r="BZ94" s="23"/>
      <c r="CA94" s="23"/>
      <c r="CB94" s="4"/>
      <c r="CC94" s="4"/>
      <c r="CD94" s="4"/>
      <c r="CE94" s="4"/>
      <c r="CF94" s="4"/>
      <c r="CG94" s="23"/>
      <c r="CH94" s="23"/>
      <c r="CI94" s="23"/>
      <c r="CJ94" s="4"/>
      <c r="CK94" s="4"/>
      <c r="CL94" s="4"/>
      <c r="CM94" s="4"/>
      <c r="CN94" s="4"/>
      <c r="CO94" s="4"/>
      <c r="CP94" s="4"/>
    </row>
    <row r="95" spans="1:94" ht="15.75" customHeight="1">
      <c r="A95" s="18">
        <v>94</v>
      </c>
      <c r="B95" s="19">
        <v>20818</v>
      </c>
      <c r="C95" s="31">
        <v>45391</v>
      </c>
      <c r="D95" s="32">
        <v>4</v>
      </c>
      <c r="E95" s="32">
        <v>492</v>
      </c>
      <c r="F95" s="33">
        <v>1.1100000000000001</v>
      </c>
      <c r="G95" s="33">
        <v>7.19</v>
      </c>
      <c r="H95" s="33">
        <v>3.48</v>
      </c>
      <c r="I95" s="33">
        <v>20.059999999999999</v>
      </c>
      <c r="J95" s="32" t="s">
        <v>83</v>
      </c>
      <c r="K95" s="32">
        <v>43992</v>
      </c>
      <c r="L95" s="32">
        <v>136</v>
      </c>
      <c r="M95" s="33">
        <v>1.32</v>
      </c>
      <c r="N95" s="33">
        <v>7.19</v>
      </c>
      <c r="O95" s="33">
        <v>3.96</v>
      </c>
      <c r="P95" s="32" t="s">
        <v>84</v>
      </c>
      <c r="Q95" s="32">
        <v>0</v>
      </c>
      <c r="R95" s="32"/>
      <c r="S95" s="32">
        <v>43874</v>
      </c>
      <c r="T95" s="32">
        <v>108</v>
      </c>
      <c r="U95" s="33">
        <v>0.98</v>
      </c>
      <c r="V95" s="33">
        <v>7.21</v>
      </c>
      <c r="W95" s="33">
        <v>3.16</v>
      </c>
      <c r="X95" s="32" t="s">
        <v>84</v>
      </c>
      <c r="Y95" s="32">
        <v>0</v>
      </c>
      <c r="Z95" s="32"/>
      <c r="AA95" s="32">
        <v>44074</v>
      </c>
      <c r="AB95" s="32">
        <v>108</v>
      </c>
      <c r="AC95" s="33">
        <v>1.07</v>
      </c>
      <c r="AD95" s="33">
        <v>7.23</v>
      </c>
      <c r="AE95" s="33">
        <v>2.74</v>
      </c>
      <c r="AF95" s="32" t="s">
        <v>84</v>
      </c>
      <c r="AG95" s="32">
        <v>0</v>
      </c>
      <c r="AH95" s="32"/>
      <c r="AI95" s="32">
        <v>44425</v>
      </c>
      <c r="AJ95" s="32">
        <v>139</v>
      </c>
      <c r="AK95" s="33">
        <v>1.01</v>
      </c>
      <c r="AL95" s="33">
        <v>7.13</v>
      </c>
      <c r="AM95" s="33">
        <v>3.85</v>
      </c>
      <c r="AN95" s="32" t="s">
        <v>84</v>
      </c>
      <c r="AO95" s="32">
        <v>0</v>
      </c>
      <c r="AP95" s="32"/>
      <c r="AQ95" s="32"/>
      <c r="AR95" s="32"/>
      <c r="AS95" s="33"/>
      <c r="AT95" s="33"/>
      <c r="AU95" s="33"/>
      <c r="AV95" s="32"/>
      <c r="AW95" s="32"/>
      <c r="AX95" s="32"/>
      <c r="AY95" s="32"/>
      <c r="AZ95" s="34"/>
      <c r="BA95" s="33"/>
      <c r="BB95" s="33"/>
      <c r="BC95" s="33"/>
      <c r="BD95" s="32"/>
      <c r="BE95" s="32"/>
      <c r="BF95" s="32"/>
      <c r="BG95" s="32"/>
      <c r="BH95" s="32"/>
      <c r="BI95" s="33"/>
      <c r="BJ95" s="33"/>
      <c r="BK95" s="33"/>
      <c r="BL95" s="32"/>
      <c r="BM95" s="32"/>
      <c r="BN95" s="32"/>
      <c r="BO95" s="32"/>
      <c r="BP95" s="32"/>
      <c r="BQ95" s="33"/>
      <c r="BR95" s="33"/>
      <c r="BS95" s="33"/>
      <c r="BT95" s="32"/>
      <c r="BU95" s="32"/>
      <c r="BV95" s="32"/>
      <c r="BW95" s="32"/>
      <c r="BX95" s="32"/>
      <c r="BY95" s="33"/>
      <c r="BZ95" s="33"/>
      <c r="CA95" s="33"/>
      <c r="CB95" s="32"/>
      <c r="CC95" s="32"/>
      <c r="CD95" s="32"/>
      <c r="CE95" s="32"/>
      <c r="CF95" s="32"/>
      <c r="CG95" s="33"/>
      <c r="CH95" s="33"/>
      <c r="CI95" s="33"/>
      <c r="CJ95" s="32"/>
      <c r="CK95" s="32"/>
      <c r="CL95" s="32"/>
      <c r="CM95" s="32"/>
      <c r="CN95" s="32"/>
      <c r="CO95" s="32"/>
      <c r="CP95" s="32"/>
    </row>
    <row r="96" spans="1:94" ht="15.75" customHeight="1">
      <c r="A96" s="1">
        <v>95</v>
      </c>
      <c r="B96" s="2">
        <v>20819</v>
      </c>
      <c r="C96" s="10">
        <v>45391</v>
      </c>
      <c r="D96" s="4">
        <v>4</v>
      </c>
      <c r="E96" s="4">
        <v>442</v>
      </c>
      <c r="F96" s="23">
        <v>1.0900000000000001</v>
      </c>
      <c r="G96" s="23">
        <v>7.14</v>
      </c>
      <c r="H96" s="23">
        <v>3.48</v>
      </c>
      <c r="I96" s="23">
        <v>19.91</v>
      </c>
      <c r="J96" s="4" t="s">
        <v>83</v>
      </c>
      <c r="K96" s="4">
        <v>43064</v>
      </c>
      <c r="L96" s="4">
        <v>44</v>
      </c>
      <c r="M96" s="23">
        <v>1.25</v>
      </c>
      <c r="N96" s="23">
        <v>6.87</v>
      </c>
      <c r="O96" s="23">
        <v>3.64</v>
      </c>
      <c r="P96" s="4" t="s">
        <v>84</v>
      </c>
      <c r="Q96" s="4">
        <v>0</v>
      </c>
      <c r="R96" s="4"/>
      <c r="S96" s="4">
        <v>44153</v>
      </c>
      <c r="T96" s="4">
        <v>135</v>
      </c>
      <c r="U96" s="23">
        <v>1</v>
      </c>
      <c r="V96" s="23">
        <v>7.1</v>
      </c>
      <c r="W96" s="23">
        <v>3.37</v>
      </c>
      <c r="X96" s="4" t="s">
        <v>84</v>
      </c>
      <c r="Y96" s="4">
        <v>0</v>
      </c>
      <c r="Z96" s="4"/>
      <c r="AA96" s="4">
        <v>44337</v>
      </c>
      <c r="AB96" s="4">
        <v>120</v>
      </c>
      <c r="AC96" s="23">
        <v>1.0900000000000001</v>
      </c>
      <c r="AD96" s="23">
        <v>7.23</v>
      </c>
      <c r="AE96" s="23">
        <v>2.96</v>
      </c>
      <c r="AF96" s="4" t="s">
        <v>84</v>
      </c>
      <c r="AG96" s="4">
        <v>0</v>
      </c>
      <c r="AH96" s="4"/>
      <c r="AI96" s="4">
        <v>44335</v>
      </c>
      <c r="AJ96" s="4">
        <v>143</v>
      </c>
      <c r="AK96" s="23">
        <v>1.17</v>
      </c>
      <c r="AL96" s="23">
        <v>7.19</v>
      </c>
      <c r="AM96" s="23">
        <v>3.83</v>
      </c>
      <c r="AN96" s="4" t="s">
        <v>84</v>
      </c>
      <c r="AO96" s="4">
        <v>0</v>
      </c>
      <c r="AP96" s="4"/>
      <c r="AQ96" s="4"/>
      <c r="AR96" s="4"/>
      <c r="AS96" s="23"/>
      <c r="AT96" s="23"/>
      <c r="AU96" s="23"/>
      <c r="AV96" s="4"/>
      <c r="AW96" s="4"/>
      <c r="AX96" s="4"/>
      <c r="AY96" s="4"/>
      <c r="AZ96" s="24"/>
      <c r="BA96" s="23"/>
      <c r="BB96" s="23"/>
      <c r="BC96" s="23"/>
      <c r="BD96" s="4"/>
      <c r="BE96" s="4"/>
      <c r="BF96" s="4"/>
      <c r="BG96" s="4"/>
      <c r="BH96" s="4"/>
      <c r="BI96" s="23"/>
      <c r="BJ96" s="23"/>
      <c r="BK96" s="23"/>
      <c r="BL96" s="4"/>
      <c r="BM96" s="4"/>
      <c r="BN96" s="4"/>
      <c r="BO96" s="4"/>
      <c r="BP96" s="4"/>
      <c r="BQ96" s="23"/>
      <c r="BR96" s="23"/>
      <c r="BS96" s="23"/>
      <c r="BT96" s="4"/>
      <c r="BU96" s="4"/>
      <c r="BV96" s="4"/>
      <c r="BW96" s="4"/>
      <c r="BX96" s="4"/>
      <c r="BY96" s="23"/>
      <c r="BZ96" s="23"/>
      <c r="CA96" s="23"/>
      <c r="CB96" s="4"/>
      <c r="CC96" s="4"/>
      <c r="CD96" s="4"/>
      <c r="CE96" s="4"/>
      <c r="CF96" s="4"/>
      <c r="CG96" s="23"/>
      <c r="CH96" s="23"/>
      <c r="CI96" s="23"/>
      <c r="CJ96" s="4"/>
      <c r="CK96" s="4"/>
      <c r="CL96" s="4"/>
      <c r="CM96" s="4"/>
      <c r="CN96" s="4"/>
      <c r="CO96" s="4"/>
      <c r="CP96" s="4"/>
    </row>
    <row r="97" spans="1:94" ht="15.75" customHeight="1">
      <c r="A97" s="1">
        <v>96</v>
      </c>
      <c r="B97" s="2">
        <v>20820</v>
      </c>
      <c r="C97" s="10">
        <v>45391</v>
      </c>
      <c r="D97" s="4">
        <v>4</v>
      </c>
      <c r="E97" s="4">
        <v>399</v>
      </c>
      <c r="F97" s="23">
        <v>1.1100000000000001</v>
      </c>
      <c r="G97" s="23">
        <v>7.06</v>
      </c>
      <c r="H97" s="23">
        <v>3.5</v>
      </c>
      <c r="I97" s="23">
        <v>19.96</v>
      </c>
      <c r="J97" s="4" t="s">
        <v>83</v>
      </c>
      <c r="K97" s="4">
        <v>43064</v>
      </c>
      <c r="L97" s="4">
        <v>123</v>
      </c>
      <c r="M97" s="23">
        <v>1.23</v>
      </c>
      <c r="N97" s="23">
        <v>7.04</v>
      </c>
      <c r="O97" s="23">
        <v>3.75</v>
      </c>
      <c r="P97" s="4" t="s">
        <v>84</v>
      </c>
      <c r="Q97" s="4">
        <v>0</v>
      </c>
      <c r="R97" s="4"/>
      <c r="S97" s="4">
        <v>44153</v>
      </c>
      <c r="T97" s="4">
        <v>67</v>
      </c>
      <c r="U97" s="23">
        <v>1.01</v>
      </c>
      <c r="V97" s="23">
        <v>7.09</v>
      </c>
      <c r="W97" s="23">
        <v>3.37</v>
      </c>
      <c r="X97" s="4" t="s">
        <v>84</v>
      </c>
      <c r="Y97" s="4">
        <v>0</v>
      </c>
      <c r="Z97" s="4"/>
      <c r="AA97" s="4">
        <v>43392</v>
      </c>
      <c r="AB97" s="4">
        <v>91</v>
      </c>
      <c r="AC97" s="23">
        <v>1.0900000000000001</v>
      </c>
      <c r="AD97" s="23">
        <v>6.94</v>
      </c>
      <c r="AE97" s="23">
        <v>2.56</v>
      </c>
      <c r="AF97" s="4" t="s">
        <v>84</v>
      </c>
      <c r="AG97" s="4">
        <v>0</v>
      </c>
      <c r="AH97" s="4"/>
      <c r="AI97" s="4">
        <v>42909</v>
      </c>
      <c r="AJ97" s="4">
        <v>118</v>
      </c>
      <c r="AK97" s="23">
        <v>1.06</v>
      </c>
      <c r="AL97" s="23">
        <v>7.13</v>
      </c>
      <c r="AM97" s="23">
        <v>4.0199999999999996</v>
      </c>
      <c r="AN97" s="4" t="s">
        <v>84</v>
      </c>
      <c r="AO97" s="4">
        <v>0</v>
      </c>
      <c r="AP97" s="4"/>
      <c r="AQ97" s="4"/>
      <c r="AR97" s="4"/>
      <c r="AS97" s="23"/>
      <c r="AT97" s="23"/>
      <c r="AU97" s="23"/>
      <c r="AV97" s="4"/>
      <c r="AW97" s="4"/>
      <c r="AX97" s="4"/>
      <c r="AY97" s="4"/>
      <c r="AZ97" s="24"/>
      <c r="BA97" s="23"/>
      <c r="BB97" s="23"/>
      <c r="BC97" s="23"/>
      <c r="BD97" s="4"/>
      <c r="BE97" s="4"/>
      <c r="BF97" s="4"/>
      <c r="BG97" s="4"/>
      <c r="BH97" s="4"/>
      <c r="BI97" s="23"/>
      <c r="BJ97" s="23"/>
      <c r="BK97" s="23"/>
      <c r="BL97" s="4"/>
      <c r="BM97" s="4"/>
      <c r="BN97" s="4"/>
      <c r="BO97" s="4"/>
      <c r="BP97" s="4"/>
      <c r="BQ97" s="23"/>
      <c r="BR97" s="23"/>
      <c r="BS97" s="23"/>
      <c r="BT97" s="4"/>
      <c r="BU97" s="4"/>
      <c r="BV97" s="4"/>
      <c r="BW97" s="4"/>
      <c r="BX97" s="4"/>
      <c r="BY97" s="23"/>
      <c r="BZ97" s="23"/>
      <c r="CA97" s="23"/>
      <c r="CB97" s="4"/>
      <c r="CC97" s="4"/>
      <c r="CD97" s="4"/>
      <c r="CE97" s="4"/>
      <c r="CF97" s="4"/>
      <c r="CG97" s="23"/>
      <c r="CH97" s="23"/>
      <c r="CI97" s="23"/>
      <c r="CJ97" s="4"/>
      <c r="CK97" s="4"/>
      <c r="CL97" s="4"/>
      <c r="CM97" s="4"/>
      <c r="CN97" s="4"/>
      <c r="CO97" s="4"/>
      <c r="CP97" s="4"/>
    </row>
    <row r="98" spans="1:94" ht="15.75" customHeight="1">
      <c r="A98" s="1">
        <v>97</v>
      </c>
      <c r="B98" s="2">
        <v>20821</v>
      </c>
      <c r="C98" s="10">
        <v>45391</v>
      </c>
      <c r="D98" s="4">
        <v>4</v>
      </c>
      <c r="E98" s="4">
        <v>376</v>
      </c>
      <c r="F98" s="23">
        <v>1.08</v>
      </c>
      <c r="G98" s="23">
        <v>7.26</v>
      </c>
      <c r="H98" s="23">
        <v>3.45</v>
      </c>
      <c r="I98" s="23">
        <v>20.010000000000002</v>
      </c>
      <c r="J98" s="4" t="s">
        <v>89</v>
      </c>
      <c r="K98" s="4">
        <v>43375</v>
      </c>
      <c r="L98" s="4">
        <v>138</v>
      </c>
      <c r="M98" s="23">
        <v>1.2</v>
      </c>
      <c r="N98" s="23">
        <v>7.16</v>
      </c>
      <c r="O98" s="23">
        <v>4.54</v>
      </c>
      <c r="P98" s="4" t="s">
        <v>84</v>
      </c>
      <c r="Q98" s="4">
        <v>0</v>
      </c>
      <c r="R98" s="4"/>
      <c r="S98" s="4">
        <v>44229</v>
      </c>
      <c r="T98" s="4">
        <v>93</v>
      </c>
      <c r="U98" s="23">
        <v>0.91</v>
      </c>
      <c r="V98" s="23">
        <v>7.18</v>
      </c>
      <c r="W98" s="23">
        <v>2.84</v>
      </c>
      <c r="X98" s="4" t="s">
        <v>84</v>
      </c>
      <c r="Y98" s="4">
        <v>0</v>
      </c>
      <c r="Z98" s="4"/>
      <c r="AA98" s="4">
        <v>43417</v>
      </c>
      <c r="AB98" s="4">
        <v>109</v>
      </c>
      <c r="AC98" s="23">
        <v>1.1100000000000001</v>
      </c>
      <c r="AD98" s="23">
        <v>7.29</v>
      </c>
      <c r="AE98" s="23">
        <v>2.83</v>
      </c>
      <c r="AF98" s="4" t="s">
        <v>84</v>
      </c>
      <c r="AG98" s="4">
        <v>0</v>
      </c>
      <c r="AH98" s="4"/>
      <c r="AI98" s="4">
        <v>44182</v>
      </c>
      <c r="AJ98" s="4">
        <v>37</v>
      </c>
      <c r="AK98" s="23">
        <v>1.04</v>
      </c>
      <c r="AL98" s="23">
        <v>7.36</v>
      </c>
      <c r="AM98" s="23">
        <v>2.29</v>
      </c>
      <c r="AN98" s="4" t="s">
        <v>84</v>
      </c>
      <c r="AO98" s="4">
        <v>0</v>
      </c>
      <c r="AP98" s="4"/>
      <c r="AQ98" s="4"/>
      <c r="AR98" s="4"/>
      <c r="AS98" s="23"/>
      <c r="AT98" s="23"/>
      <c r="AU98" s="23"/>
      <c r="AV98" s="4"/>
      <c r="AW98" s="4"/>
      <c r="AX98" s="4"/>
      <c r="AY98" s="4"/>
      <c r="AZ98" s="24"/>
      <c r="BA98" s="23"/>
      <c r="BB98" s="23"/>
      <c r="BC98" s="23"/>
      <c r="BD98" s="4"/>
      <c r="BE98" s="4"/>
      <c r="BF98" s="4"/>
      <c r="BG98" s="4"/>
      <c r="BH98" s="4"/>
      <c r="BI98" s="23"/>
      <c r="BJ98" s="23"/>
      <c r="BK98" s="23"/>
      <c r="BL98" s="4"/>
      <c r="BM98" s="4"/>
      <c r="BN98" s="4"/>
      <c r="BO98" s="4"/>
      <c r="BP98" s="4"/>
      <c r="BQ98" s="23"/>
      <c r="BR98" s="23"/>
      <c r="BS98" s="23"/>
      <c r="BT98" s="4"/>
      <c r="BU98" s="4"/>
      <c r="BV98" s="4"/>
      <c r="BW98" s="4"/>
      <c r="BX98" s="4"/>
      <c r="BY98" s="23"/>
      <c r="BZ98" s="23"/>
      <c r="CA98" s="23"/>
      <c r="CB98" s="4"/>
      <c r="CC98" s="4"/>
      <c r="CD98" s="4"/>
      <c r="CE98" s="4"/>
      <c r="CF98" s="4"/>
      <c r="CG98" s="23"/>
      <c r="CH98" s="23"/>
      <c r="CI98" s="23"/>
      <c r="CJ98" s="4"/>
      <c r="CK98" s="4"/>
      <c r="CL98" s="4"/>
      <c r="CM98" s="4"/>
      <c r="CN98" s="4"/>
      <c r="CO98" s="4"/>
      <c r="CP98" s="4"/>
    </row>
    <row r="99" spans="1:94" ht="15.75" customHeight="1">
      <c r="A99" s="1">
        <v>98</v>
      </c>
      <c r="B99" s="2">
        <v>20822</v>
      </c>
      <c r="C99" s="10">
        <v>45391</v>
      </c>
      <c r="D99" s="4">
        <v>4</v>
      </c>
      <c r="E99" s="4">
        <v>446</v>
      </c>
      <c r="F99" s="23">
        <v>1.1100000000000001</v>
      </c>
      <c r="G99" s="23">
        <v>7.18</v>
      </c>
      <c r="H99" s="23">
        <v>3.56</v>
      </c>
      <c r="I99" s="23">
        <v>20.27</v>
      </c>
      <c r="J99" s="4" t="s">
        <v>83</v>
      </c>
      <c r="K99" s="4">
        <v>44335</v>
      </c>
      <c r="L99" s="4">
        <v>143</v>
      </c>
      <c r="M99" s="23">
        <v>1.18</v>
      </c>
      <c r="N99" s="23">
        <v>7.22</v>
      </c>
      <c r="O99" s="23">
        <v>3.82</v>
      </c>
      <c r="P99" s="4" t="s">
        <v>84</v>
      </c>
      <c r="Q99" s="4">
        <v>0</v>
      </c>
      <c r="R99" s="4"/>
      <c r="S99" s="4">
        <v>43417</v>
      </c>
      <c r="T99" s="4">
        <v>103</v>
      </c>
      <c r="U99" s="23">
        <v>1.1200000000000001</v>
      </c>
      <c r="V99" s="23">
        <v>7.18</v>
      </c>
      <c r="W99" s="23">
        <v>3.16</v>
      </c>
      <c r="X99" s="4" t="s">
        <v>84</v>
      </c>
      <c r="Y99" s="4">
        <v>0</v>
      </c>
      <c r="Z99" s="4"/>
      <c r="AA99" s="4">
        <v>43966</v>
      </c>
      <c r="AB99" s="4">
        <v>83</v>
      </c>
      <c r="AC99" s="23">
        <v>1.03</v>
      </c>
      <c r="AD99" s="23">
        <v>7.08</v>
      </c>
      <c r="AE99" s="23">
        <v>2.81</v>
      </c>
      <c r="AF99" s="4" t="s">
        <v>84</v>
      </c>
      <c r="AG99" s="4">
        <v>0</v>
      </c>
      <c r="AH99" s="4"/>
      <c r="AI99" s="4">
        <v>44427</v>
      </c>
      <c r="AJ99" s="4">
        <v>117</v>
      </c>
      <c r="AK99" s="23">
        <v>1.02</v>
      </c>
      <c r="AL99" s="23">
        <v>7.14</v>
      </c>
      <c r="AM99" s="23">
        <v>4.07</v>
      </c>
      <c r="AN99" s="4" t="s">
        <v>84</v>
      </c>
      <c r="AO99" s="4">
        <v>0</v>
      </c>
      <c r="AP99" s="4"/>
      <c r="AQ99" s="4"/>
      <c r="AR99" s="4"/>
      <c r="AS99" s="23"/>
      <c r="AT99" s="23"/>
      <c r="AU99" s="23"/>
      <c r="AV99" s="4"/>
      <c r="AW99" s="4"/>
      <c r="AX99" s="4"/>
      <c r="AY99" s="4"/>
      <c r="AZ99" s="24"/>
      <c r="BA99" s="23"/>
      <c r="BB99" s="23"/>
      <c r="BC99" s="23"/>
      <c r="BD99" s="4"/>
      <c r="BE99" s="4"/>
      <c r="BF99" s="4"/>
      <c r="BG99" s="4"/>
      <c r="BH99" s="4"/>
      <c r="BI99" s="23"/>
      <c r="BJ99" s="23"/>
      <c r="BK99" s="23"/>
      <c r="BL99" s="4"/>
      <c r="BM99" s="4"/>
      <c r="BN99" s="4"/>
      <c r="BO99" s="4"/>
      <c r="BP99" s="4"/>
      <c r="BQ99" s="23"/>
      <c r="BR99" s="23"/>
      <c r="BS99" s="23"/>
      <c r="BT99" s="4"/>
      <c r="BU99" s="4"/>
      <c r="BV99" s="4"/>
      <c r="BW99" s="4"/>
      <c r="BX99" s="4"/>
      <c r="BY99" s="23"/>
      <c r="BZ99" s="23"/>
      <c r="CA99" s="23"/>
      <c r="CB99" s="4"/>
      <c r="CC99" s="4"/>
      <c r="CD99" s="4"/>
      <c r="CE99" s="4"/>
      <c r="CF99" s="4"/>
      <c r="CG99" s="23"/>
      <c r="CH99" s="23"/>
      <c r="CI99" s="23"/>
      <c r="CJ99" s="4"/>
      <c r="CK99" s="4"/>
      <c r="CL99" s="4"/>
      <c r="CM99" s="4"/>
      <c r="CN99" s="4"/>
      <c r="CO99" s="4"/>
      <c r="CP99" s="4"/>
    </row>
    <row r="100" spans="1:94" ht="15.75" customHeight="1">
      <c r="A100" s="1">
        <v>99</v>
      </c>
      <c r="B100" s="2">
        <v>20823</v>
      </c>
      <c r="C100" s="10">
        <v>45391</v>
      </c>
      <c r="D100" s="4">
        <v>4</v>
      </c>
      <c r="E100" s="4">
        <v>484</v>
      </c>
      <c r="F100" s="23">
        <v>1.07</v>
      </c>
      <c r="G100" s="23">
        <v>7.19</v>
      </c>
      <c r="H100" s="23">
        <v>3.44</v>
      </c>
      <c r="I100" s="23">
        <v>19.88</v>
      </c>
      <c r="J100" s="4" t="s">
        <v>83</v>
      </c>
      <c r="K100" s="4">
        <v>43293</v>
      </c>
      <c r="L100" s="4">
        <v>133</v>
      </c>
      <c r="M100" s="23">
        <v>1.05</v>
      </c>
      <c r="N100" s="23">
        <v>7.2</v>
      </c>
      <c r="O100" s="23">
        <v>3.88</v>
      </c>
      <c r="P100" s="4" t="s">
        <v>84</v>
      </c>
      <c r="Q100" s="4">
        <v>0</v>
      </c>
      <c r="R100" s="4"/>
      <c r="S100" s="4">
        <v>43392</v>
      </c>
      <c r="T100" s="4">
        <v>110</v>
      </c>
      <c r="U100" s="23">
        <v>1.0900000000000001</v>
      </c>
      <c r="V100" s="23">
        <v>6.98</v>
      </c>
      <c r="W100" s="23">
        <v>2.5299999999999998</v>
      </c>
      <c r="X100" s="4" t="s">
        <v>84</v>
      </c>
      <c r="Y100" s="4">
        <v>0</v>
      </c>
      <c r="Z100" s="4"/>
      <c r="AA100" s="4">
        <v>43293</v>
      </c>
      <c r="AB100" s="4">
        <v>152</v>
      </c>
      <c r="AC100" s="23">
        <v>1.03</v>
      </c>
      <c r="AD100" s="23">
        <v>7.15</v>
      </c>
      <c r="AE100" s="23">
        <v>3.74</v>
      </c>
      <c r="AF100" s="4" t="s">
        <v>84</v>
      </c>
      <c r="AG100" s="4">
        <v>0</v>
      </c>
      <c r="AH100" s="4"/>
      <c r="AI100" s="4">
        <v>44417</v>
      </c>
      <c r="AJ100" s="4">
        <v>88</v>
      </c>
      <c r="AK100" s="23">
        <v>1.21</v>
      </c>
      <c r="AL100" s="23">
        <v>7.3</v>
      </c>
      <c r="AM100" s="23">
        <v>3.48</v>
      </c>
      <c r="AN100" s="4" t="s">
        <v>84</v>
      </c>
      <c r="AO100" s="4">
        <v>0</v>
      </c>
      <c r="AP100" s="4"/>
      <c r="AQ100" s="4"/>
      <c r="AR100" s="4"/>
      <c r="AS100" s="23"/>
      <c r="AT100" s="23"/>
      <c r="AU100" s="23"/>
      <c r="AV100" s="4"/>
      <c r="AW100" s="4"/>
      <c r="AX100" s="4"/>
      <c r="AY100" s="4"/>
      <c r="AZ100" s="24"/>
      <c r="BA100" s="23"/>
      <c r="BB100" s="23"/>
      <c r="BC100" s="23"/>
      <c r="BD100" s="4"/>
      <c r="BE100" s="4"/>
      <c r="BF100" s="4"/>
      <c r="BG100" s="4"/>
      <c r="BH100" s="4"/>
      <c r="BI100" s="23"/>
      <c r="BJ100" s="23"/>
      <c r="BK100" s="23"/>
      <c r="BL100" s="4"/>
      <c r="BM100" s="4"/>
      <c r="BN100" s="4"/>
      <c r="BO100" s="4"/>
      <c r="BP100" s="4"/>
      <c r="BQ100" s="23"/>
      <c r="BR100" s="23"/>
      <c r="BS100" s="23"/>
      <c r="BT100" s="4"/>
      <c r="BU100" s="4"/>
      <c r="BV100" s="4"/>
      <c r="BW100" s="4"/>
      <c r="BX100" s="4"/>
      <c r="BY100" s="23"/>
      <c r="BZ100" s="23"/>
      <c r="CA100" s="23"/>
      <c r="CB100" s="4"/>
      <c r="CC100" s="4"/>
      <c r="CD100" s="4"/>
      <c r="CE100" s="4"/>
      <c r="CF100" s="4"/>
      <c r="CG100" s="23"/>
      <c r="CH100" s="23"/>
      <c r="CI100" s="23"/>
      <c r="CJ100" s="4"/>
      <c r="CK100" s="4"/>
      <c r="CL100" s="4"/>
      <c r="CM100" s="4"/>
      <c r="CN100" s="4"/>
      <c r="CO100" s="4"/>
      <c r="CP100" s="4"/>
    </row>
    <row r="101" spans="1:94" ht="15.75" customHeight="1">
      <c r="A101" s="1">
        <v>100</v>
      </c>
      <c r="B101" s="2">
        <v>20825</v>
      </c>
      <c r="C101" s="10">
        <v>45392</v>
      </c>
      <c r="D101" s="4">
        <v>4</v>
      </c>
      <c r="E101" s="4">
        <v>522</v>
      </c>
      <c r="F101" s="23">
        <v>1.1100000000000001</v>
      </c>
      <c r="G101" s="23">
        <v>7.22</v>
      </c>
      <c r="H101" s="23">
        <v>3.41</v>
      </c>
      <c r="I101" s="23">
        <v>19.899999999999999</v>
      </c>
      <c r="J101" s="4" t="s">
        <v>83</v>
      </c>
      <c r="K101" s="4">
        <v>44335</v>
      </c>
      <c r="L101" s="4">
        <v>142</v>
      </c>
      <c r="M101" s="23">
        <v>1.17</v>
      </c>
      <c r="N101" s="23">
        <v>7.23</v>
      </c>
      <c r="O101" s="23">
        <v>3.74</v>
      </c>
      <c r="P101" s="4" t="s">
        <v>84</v>
      </c>
      <c r="Q101" s="4">
        <v>0</v>
      </c>
      <c r="R101" s="4"/>
      <c r="S101" s="4">
        <v>43966</v>
      </c>
      <c r="T101" s="4">
        <v>117</v>
      </c>
      <c r="U101" s="23">
        <v>1.06</v>
      </c>
      <c r="V101" s="23">
        <v>7.22</v>
      </c>
      <c r="W101" s="23">
        <v>2.76</v>
      </c>
      <c r="X101" s="4" t="s">
        <v>84</v>
      </c>
      <c r="Y101" s="4">
        <v>0</v>
      </c>
      <c r="Z101" s="4"/>
      <c r="AA101" s="4">
        <v>43561</v>
      </c>
      <c r="AB101" s="4">
        <v>144</v>
      </c>
      <c r="AC101" s="23">
        <v>1.06</v>
      </c>
      <c r="AD101" s="23">
        <v>7.17</v>
      </c>
      <c r="AE101" s="23">
        <v>4.0199999999999996</v>
      </c>
      <c r="AF101" s="4" t="s">
        <v>84</v>
      </c>
      <c r="AG101" s="4">
        <v>0</v>
      </c>
      <c r="AH101" s="4"/>
      <c r="AI101" s="4">
        <v>43874</v>
      </c>
      <c r="AJ101" s="4">
        <v>119</v>
      </c>
      <c r="AK101" s="23">
        <v>0.99</v>
      </c>
      <c r="AL101" s="23">
        <v>7.15</v>
      </c>
      <c r="AM101" s="23">
        <v>3.21</v>
      </c>
      <c r="AN101" s="4" t="s">
        <v>84</v>
      </c>
      <c r="AO101" s="4">
        <v>0</v>
      </c>
      <c r="AP101" s="4"/>
      <c r="AQ101" s="4"/>
      <c r="AR101" s="4"/>
      <c r="AS101" s="23"/>
      <c r="AT101" s="23"/>
      <c r="AU101" s="23"/>
      <c r="AV101" s="4"/>
      <c r="AW101" s="4"/>
      <c r="AX101" s="4"/>
      <c r="AY101" s="4"/>
      <c r="AZ101" s="24"/>
      <c r="BA101" s="23"/>
      <c r="BB101" s="23"/>
      <c r="BC101" s="23"/>
      <c r="BD101" s="4"/>
      <c r="BE101" s="4"/>
      <c r="BF101" s="4"/>
      <c r="BG101" s="4"/>
      <c r="BH101" s="4"/>
      <c r="BI101" s="23"/>
      <c r="BJ101" s="23"/>
      <c r="BK101" s="23"/>
      <c r="BL101" s="4"/>
      <c r="BM101" s="4"/>
      <c r="BN101" s="4"/>
      <c r="BO101" s="4"/>
      <c r="BP101" s="4"/>
      <c r="BQ101" s="23"/>
      <c r="BR101" s="23"/>
      <c r="BS101" s="23"/>
      <c r="BT101" s="4"/>
      <c r="BU101" s="4"/>
      <c r="BV101" s="4"/>
      <c r="BW101" s="4"/>
      <c r="BX101" s="4"/>
      <c r="BY101" s="23"/>
      <c r="BZ101" s="23"/>
      <c r="CA101" s="23"/>
      <c r="CB101" s="4"/>
      <c r="CC101" s="4"/>
      <c r="CD101" s="4"/>
      <c r="CE101" s="4"/>
      <c r="CF101" s="4"/>
      <c r="CG101" s="23"/>
      <c r="CH101" s="23"/>
      <c r="CI101" s="23"/>
      <c r="CJ101" s="4"/>
      <c r="CK101" s="4"/>
      <c r="CL101" s="4"/>
      <c r="CM101" s="4"/>
      <c r="CN101" s="4"/>
      <c r="CO101" s="4"/>
      <c r="CP101" s="4"/>
    </row>
    <row r="102" spans="1:94" ht="15.75" customHeight="1">
      <c r="B102" s="2"/>
      <c r="C102" s="10"/>
      <c r="F102" s="39"/>
      <c r="G102" s="39"/>
      <c r="H102" s="39"/>
      <c r="I102" s="39"/>
      <c r="M102" s="39"/>
      <c r="N102" s="39"/>
      <c r="O102" s="39"/>
      <c r="U102" s="39"/>
      <c r="V102" s="39"/>
      <c r="W102" s="39"/>
      <c r="AC102" s="39"/>
      <c r="AD102" s="39"/>
      <c r="AE102" s="39"/>
      <c r="AK102" s="39"/>
      <c r="AL102" s="39"/>
      <c r="AM102" s="39"/>
      <c r="AS102" s="39"/>
      <c r="AT102" s="39"/>
      <c r="AU102" s="39"/>
      <c r="AZ102" s="40"/>
      <c r="BA102" s="39"/>
      <c r="BB102" s="39"/>
      <c r="BC102" s="39"/>
      <c r="BI102" s="39"/>
      <c r="BJ102" s="39"/>
      <c r="BK102" s="39"/>
      <c r="BQ102" s="39"/>
      <c r="BR102" s="39"/>
      <c r="BS102" s="39"/>
      <c r="BY102" s="39"/>
      <c r="BZ102" s="39"/>
      <c r="CA102" s="39"/>
      <c r="CG102" s="39"/>
      <c r="CH102" s="39"/>
      <c r="CI102" s="39"/>
    </row>
    <row r="103" spans="1:94" ht="15.75" customHeight="1">
      <c r="B103" s="2"/>
      <c r="C103" s="10"/>
      <c r="F103" s="39"/>
      <c r="G103" s="39"/>
      <c r="H103" s="39"/>
      <c r="I103" s="39"/>
      <c r="M103" s="39"/>
      <c r="N103" s="39"/>
      <c r="O103" s="39"/>
      <c r="U103" s="39"/>
      <c r="V103" s="39"/>
      <c r="W103" s="39"/>
      <c r="AC103" s="39"/>
      <c r="AD103" s="39"/>
      <c r="AE103" s="39"/>
      <c r="AK103" s="39"/>
      <c r="AL103" s="39"/>
      <c r="AM103" s="39"/>
      <c r="AS103" s="39"/>
      <c r="AT103" s="39"/>
      <c r="AU103" s="39"/>
      <c r="AZ103" s="40"/>
      <c r="BA103" s="39"/>
      <c r="BB103" s="39"/>
      <c r="BC103" s="39"/>
      <c r="BI103" s="39"/>
      <c r="BJ103" s="39"/>
      <c r="BK103" s="39"/>
      <c r="BQ103" s="39"/>
      <c r="BR103" s="39"/>
      <c r="BS103" s="39"/>
      <c r="BY103" s="39"/>
      <c r="BZ103" s="39"/>
      <c r="CA103" s="39"/>
      <c r="CG103" s="39"/>
      <c r="CH103" s="39"/>
      <c r="CI103" s="39"/>
    </row>
    <row r="104" spans="1:94" ht="15.75" customHeight="1">
      <c r="B104" s="2"/>
      <c r="C104" s="10"/>
      <c r="F104" s="39"/>
      <c r="G104" s="39"/>
      <c r="H104" s="39"/>
      <c r="I104" s="39"/>
      <c r="M104" s="39"/>
      <c r="N104" s="39"/>
      <c r="O104" s="39"/>
      <c r="U104" s="39"/>
      <c r="V104" s="39"/>
      <c r="W104" s="39"/>
      <c r="AC104" s="39"/>
      <c r="AD104" s="39"/>
      <c r="AE104" s="39"/>
      <c r="AK104" s="39"/>
      <c r="AL104" s="39"/>
      <c r="AM104" s="39"/>
      <c r="AS104" s="39"/>
      <c r="AT104" s="39"/>
      <c r="AU104" s="39"/>
      <c r="AZ104" s="40"/>
      <c r="BA104" s="39"/>
      <c r="BB104" s="39"/>
      <c r="BC104" s="39"/>
      <c r="BI104" s="39"/>
      <c r="BJ104" s="39"/>
      <c r="BK104" s="39"/>
      <c r="BQ104" s="39"/>
      <c r="BR104" s="39"/>
      <c r="BS104" s="39"/>
      <c r="BY104" s="39"/>
      <c r="BZ104" s="39"/>
      <c r="CA104" s="39"/>
      <c r="CG104" s="39"/>
      <c r="CH104" s="39"/>
      <c r="CI104" s="39"/>
    </row>
    <row r="105" spans="1:94" ht="15.75" customHeight="1">
      <c r="B105" s="2"/>
      <c r="C105" s="10"/>
      <c r="F105" s="39"/>
      <c r="G105" s="39"/>
      <c r="H105" s="39"/>
      <c r="I105" s="39"/>
      <c r="M105" s="39"/>
      <c r="N105" s="39"/>
      <c r="O105" s="39"/>
      <c r="U105" s="39"/>
      <c r="V105" s="39"/>
      <c r="W105" s="39"/>
      <c r="AC105" s="39"/>
      <c r="AD105" s="39"/>
      <c r="AE105" s="39"/>
      <c r="AK105" s="39"/>
      <c r="AL105" s="39"/>
      <c r="AM105" s="39"/>
      <c r="AS105" s="39"/>
      <c r="AT105" s="39"/>
      <c r="AU105" s="39"/>
      <c r="AZ105" s="40"/>
      <c r="BA105" s="39"/>
      <c r="BB105" s="39"/>
      <c r="BC105" s="39"/>
      <c r="BI105" s="39"/>
      <c r="BJ105" s="39"/>
      <c r="BK105" s="39"/>
      <c r="BQ105" s="39"/>
      <c r="BR105" s="39"/>
      <c r="BS105" s="39"/>
      <c r="BY105" s="39"/>
      <c r="BZ105" s="39"/>
      <c r="CA105" s="39"/>
      <c r="CG105" s="39"/>
      <c r="CH105" s="39"/>
      <c r="CI105" s="39"/>
    </row>
    <row r="106" spans="1:94" ht="15.75" customHeight="1">
      <c r="B106" s="2"/>
      <c r="C106" s="10"/>
      <c r="F106" s="39"/>
      <c r="G106" s="39"/>
      <c r="H106" s="39"/>
      <c r="I106" s="39"/>
      <c r="M106" s="39"/>
      <c r="N106" s="39"/>
      <c r="O106" s="39"/>
      <c r="U106" s="39"/>
      <c r="V106" s="39"/>
      <c r="W106" s="39"/>
      <c r="AC106" s="39"/>
      <c r="AD106" s="39"/>
      <c r="AE106" s="39"/>
      <c r="AK106" s="39"/>
      <c r="AL106" s="39"/>
      <c r="AM106" s="39"/>
      <c r="AS106" s="39"/>
      <c r="AT106" s="39"/>
      <c r="AU106" s="39"/>
      <c r="AZ106" s="40"/>
      <c r="BA106" s="39"/>
      <c r="BB106" s="39"/>
      <c r="BC106" s="39"/>
      <c r="BI106" s="39"/>
      <c r="BJ106" s="39"/>
      <c r="BK106" s="39"/>
      <c r="BQ106" s="39"/>
      <c r="BR106" s="39"/>
      <c r="BS106" s="39"/>
      <c r="BY106" s="39"/>
      <c r="BZ106" s="39"/>
      <c r="CA106" s="39"/>
      <c r="CG106" s="39"/>
      <c r="CH106" s="39"/>
      <c r="CI106" s="39"/>
    </row>
    <row r="107" spans="1:94" ht="15.75" customHeight="1">
      <c r="B107" s="2"/>
      <c r="C107" s="10"/>
      <c r="F107" s="39"/>
      <c r="G107" s="39"/>
      <c r="H107" s="39"/>
      <c r="I107" s="39"/>
      <c r="M107" s="39"/>
      <c r="N107" s="39"/>
      <c r="O107" s="39"/>
      <c r="U107" s="39"/>
      <c r="V107" s="39"/>
      <c r="W107" s="39"/>
      <c r="AC107" s="39"/>
      <c r="AD107" s="39"/>
      <c r="AE107" s="39"/>
      <c r="AK107" s="39"/>
      <c r="AL107" s="39"/>
      <c r="AM107" s="39"/>
      <c r="AS107" s="39"/>
      <c r="AT107" s="39"/>
      <c r="AU107" s="39"/>
      <c r="AZ107" s="40"/>
      <c r="BA107" s="39"/>
      <c r="BB107" s="39"/>
      <c r="BC107" s="39"/>
      <c r="BI107" s="39"/>
      <c r="BJ107" s="39"/>
      <c r="BK107" s="39"/>
      <c r="BQ107" s="39"/>
      <c r="BR107" s="39"/>
      <c r="BS107" s="39"/>
      <c r="BY107" s="39"/>
      <c r="BZ107" s="39"/>
      <c r="CA107" s="39"/>
      <c r="CG107" s="39"/>
      <c r="CH107" s="39"/>
      <c r="CI107" s="39"/>
    </row>
    <row r="108" spans="1:94" ht="15.75" customHeight="1">
      <c r="B108" s="2"/>
      <c r="C108" s="10"/>
      <c r="F108" s="39"/>
      <c r="G108" s="39"/>
      <c r="H108" s="39"/>
      <c r="I108" s="39"/>
      <c r="M108" s="39"/>
      <c r="N108" s="39"/>
      <c r="O108" s="39"/>
      <c r="U108" s="39"/>
      <c r="V108" s="39"/>
      <c r="W108" s="39"/>
      <c r="AC108" s="39"/>
      <c r="AD108" s="39"/>
      <c r="AE108" s="39"/>
      <c r="AK108" s="39"/>
      <c r="AL108" s="39"/>
      <c r="AM108" s="39"/>
      <c r="AS108" s="39"/>
      <c r="AT108" s="39"/>
      <c r="AU108" s="39"/>
      <c r="AZ108" s="40"/>
      <c r="BA108" s="39"/>
      <c r="BB108" s="39"/>
      <c r="BC108" s="39"/>
      <c r="BI108" s="39"/>
      <c r="BJ108" s="39"/>
      <c r="BK108" s="39"/>
      <c r="BQ108" s="39"/>
      <c r="BR108" s="39"/>
      <c r="BS108" s="39"/>
      <c r="BY108" s="39"/>
      <c r="BZ108" s="39"/>
      <c r="CA108" s="39"/>
      <c r="CG108" s="39"/>
      <c r="CH108" s="39"/>
      <c r="CI108" s="39"/>
    </row>
    <row r="109" spans="1:94" ht="15.75" customHeight="1">
      <c r="B109" s="2"/>
      <c r="C109" s="10"/>
      <c r="F109" s="39"/>
      <c r="G109" s="39"/>
      <c r="H109" s="39"/>
      <c r="I109" s="39"/>
      <c r="M109" s="39"/>
      <c r="N109" s="39"/>
      <c r="O109" s="39"/>
      <c r="U109" s="39"/>
      <c r="V109" s="39"/>
      <c r="W109" s="39"/>
      <c r="AC109" s="39"/>
      <c r="AD109" s="39"/>
      <c r="AE109" s="39"/>
      <c r="AK109" s="39"/>
      <c r="AL109" s="39"/>
      <c r="AM109" s="39"/>
      <c r="AS109" s="39"/>
      <c r="AT109" s="39"/>
      <c r="AU109" s="39"/>
      <c r="AZ109" s="40"/>
      <c r="BA109" s="39"/>
      <c r="BB109" s="39"/>
      <c r="BC109" s="39"/>
      <c r="BI109" s="39"/>
      <c r="BJ109" s="39"/>
      <c r="BK109" s="39"/>
      <c r="BQ109" s="39"/>
      <c r="BR109" s="39"/>
      <c r="BS109" s="39"/>
      <c r="BY109" s="39"/>
      <c r="BZ109" s="39"/>
      <c r="CA109" s="39"/>
      <c r="CG109" s="39"/>
      <c r="CH109" s="39"/>
      <c r="CI109" s="39"/>
    </row>
    <row r="110" spans="1:94" ht="15.75" customHeight="1">
      <c r="B110" s="2"/>
      <c r="C110" s="10"/>
      <c r="F110" s="39"/>
      <c r="G110" s="39"/>
      <c r="H110" s="39"/>
      <c r="I110" s="39"/>
      <c r="M110" s="39"/>
      <c r="N110" s="39"/>
      <c r="O110" s="39"/>
      <c r="U110" s="39"/>
      <c r="V110" s="39"/>
      <c r="W110" s="39"/>
      <c r="AC110" s="39"/>
      <c r="AD110" s="39"/>
      <c r="AE110" s="39"/>
      <c r="AK110" s="39"/>
      <c r="AL110" s="39"/>
      <c r="AM110" s="39"/>
      <c r="AS110" s="39"/>
      <c r="AT110" s="39"/>
      <c r="AU110" s="39"/>
      <c r="AZ110" s="40"/>
      <c r="BA110" s="39"/>
      <c r="BB110" s="39"/>
      <c r="BC110" s="39"/>
      <c r="BI110" s="39"/>
      <c r="BJ110" s="39"/>
      <c r="BK110" s="39"/>
      <c r="BQ110" s="39"/>
      <c r="BR110" s="39"/>
      <c r="BS110" s="39"/>
      <c r="BY110" s="39"/>
      <c r="BZ110" s="39"/>
      <c r="CA110" s="39"/>
      <c r="CG110" s="39"/>
      <c r="CH110" s="39"/>
      <c r="CI110" s="39"/>
    </row>
    <row r="111" spans="1:94" ht="15.75" customHeight="1">
      <c r="B111" s="2"/>
      <c r="C111" s="10"/>
      <c r="F111" s="39"/>
      <c r="G111" s="39"/>
      <c r="H111" s="39"/>
      <c r="I111" s="39"/>
      <c r="M111" s="39"/>
      <c r="N111" s="39"/>
      <c r="O111" s="39"/>
      <c r="U111" s="39"/>
      <c r="V111" s="39"/>
      <c r="W111" s="39"/>
      <c r="AC111" s="39"/>
      <c r="AD111" s="39"/>
      <c r="AE111" s="39"/>
      <c r="AK111" s="39"/>
      <c r="AL111" s="39"/>
      <c r="AM111" s="39"/>
      <c r="AS111" s="39"/>
      <c r="AT111" s="39"/>
      <c r="AU111" s="39"/>
      <c r="AZ111" s="40"/>
      <c r="BA111" s="39"/>
      <c r="BB111" s="39"/>
      <c r="BC111" s="39"/>
      <c r="BI111" s="39"/>
      <c r="BJ111" s="39"/>
      <c r="BK111" s="39"/>
      <c r="BQ111" s="39"/>
      <c r="BR111" s="39"/>
      <c r="BS111" s="39"/>
      <c r="BY111" s="39"/>
      <c r="BZ111" s="39"/>
      <c r="CA111" s="39"/>
      <c r="CG111" s="39"/>
      <c r="CH111" s="39"/>
      <c r="CI111" s="39"/>
    </row>
    <row r="112" spans="1:94" ht="15.75" customHeight="1">
      <c r="B112" s="2"/>
      <c r="C112" s="10"/>
      <c r="F112" s="39"/>
      <c r="G112" s="39"/>
      <c r="H112" s="39"/>
      <c r="I112" s="39"/>
      <c r="M112" s="39"/>
      <c r="N112" s="39"/>
      <c r="O112" s="39"/>
      <c r="U112" s="39"/>
      <c r="V112" s="39"/>
      <c r="W112" s="39"/>
      <c r="AC112" s="39"/>
      <c r="AD112" s="39"/>
      <c r="AE112" s="39"/>
      <c r="AK112" s="39"/>
      <c r="AL112" s="39"/>
      <c r="AM112" s="39"/>
      <c r="AS112" s="39"/>
      <c r="AT112" s="39"/>
      <c r="AU112" s="39"/>
      <c r="AZ112" s="40"/>
      <c r="BA112" s="39"/>
      <c r="BB112" s="39"/>
      <c r="BC112" s="39"/>
      <c r="BI112" s="39"/>
      <c r="BJ112" s="39"/>
      <c r="BK112" s="39"/>
      <c r="BQ112" s="39"/>
      <c r="BR112" s="39"/>
      <c r="BS112" s="39"/>
      <c r="BY112" s="39"/>
      <c r="BZ112" s="39"/>
      <c r="CA112" s="39"/>
      <c r="CG112" s="39"/>
      <c r="CH112" s="39"/>
      <c r="CI112" s="39"/>
    </row>
    <row r="113" spans="2:87" ht="15.75" customHeight="1">
      <c r="B113" s="2"/>
      <c r="C113" s="10"/>
      <c r="F113" s="39"/>
      <c r="G113" s="39"/>
      <c r="H113" s="39"/>
      <c r="I113" s="39"/>
      <c r="M113" s="39"/>
      <c r="N113" s="39"/>
      <c r="O113" s="39"/>
      <c r="U113" s="39"/>
      <c r="V113" s="39"/>
      <c r="W113" s="39"/>
      <c r="AC113" s="39"/>
      <c r="AD113" s="39"/>
      <c r="AE113" s="39"/>
      <c r="AK113" s="39"/>
      <c r="AL113" s="39"/>
      <c r="AM113" s="39"/>
      <c r="AS113" s="39"/>
      <c r="AT113" s="39"/>
      <c r="AU113" s="39"/>
      <c r="AZ113" s="40"/>
      <c r="BA113" s="39"/>
      <c r="BB113" s="39"/>
      <c r="BC113" s="39"/>
      <c r="BI113" s="39"/>
      <c r="BJ113" s="39"/>
      <c r="BK113" s="39"/>
      <c r="BQ113" s="39"/>
      <c r="BR113" s="39"/>
      <c r="BS113" s="39"/>
      <c r="BY113" s="39"/>
      <c r="BZ113" s="39"/>
      <c r="CA113" s="39"/>
      <c r="CG113" s="39"/>
      <c r="CH113" s="39"/>
      <c r="CI113" s="39"/>
    </row>
    <row r="114" spans="2:87" ht="15.75" customHeight="1">
      <c r="B114" s="2"/>
      <c r="C114" s="10"/>
      <c r="F114" s="39"/>
      <c r="G114" s="39"/>
      <c r="H114" s="39"/>
      <c r="I114" s="39"/>
      <c r="M114" s="39"/>
      <c r="N114" s="39"/>
      <c r="O114" s="39"/>
      <c r="U114" s="39"/>
      <c r="V114" s="39"/>
      <c r="W114" s="39"/>
      <c r="AC114" s="39"/>
      <c r="AD114" s="39"/>
      <c r="AE114" s="39"/>
      <c r="AK114" s="39"/>
      <c r="AL114" s="39"/>
      <c r="AM114" s="39"/>
      <c r="AS114" s="39"/>
      <c r="AT114" s="39"/>
      <c r="AU114" s="39"/>
      <c r="AZ114" s="40"/>
      <c r="BA114" s="39"/>
      <c r="BB114" s="39"/>
      <c r="BC114" s="39"/>
      <c r="BI114" s="39"/>
      <c r="BJ114" s="39"/>
      <c r="BK114" s="39"/>
      <c r="BQ114" s="39"/>
      <c r="BR114" s="39"/>
      <c r="BS114" s="39"/>
      <c r="BY114" s="39"/>
      <c r="BZ114" s="39"/>
      <c r="CA114" s="39"/>
      <c r="CG114" s="39"/>
      <c r="CH114" s="39"/>
      <c r="CI114" s="39"/>
    </row>
    <row r="115" spans="2:87" ht="15.75" customHeight="1">
      <c r="B115" s="2"/>
      <c r="C115" s="10"/>
      <c r="F115" s="39"/>
      <c r="G115" s="39"/>
      <c r="H115" s="39"/>
      <c r="I115" s="39"/>
      <c r="M115" s="39"/>
      <c r="N115" s="39"/>
      <c r="O115" s="39"/>
      <c r="U115" s="39"/>
      <c r="V115" s="39"/>
      <c r="W115" s="39"/>
      <c r="AC115" s="39"/>
      <c r="AD115" s="39"/>
      <c r="AE115" s="39"/>
      <c r="AK115" s="39"/>
      <c r="AL115" s="39"/>
      <c r="AM115" s="39"/>
      <c r="AS115" s="39"/>
      <c r="AT115" s="39"/>
      <c r="AU115" s="39"/>
      <c r="AZ115" s="40"/>
      <c r="BA115" s="39"/>
      <c r="BB115" s="39"/>
      <c r="BC115" s="39"/>
      <c r="BI115" s="39"/>
      <c r="BJ115" s="39"/>
      <c r="BK115" s="39"/>
      <c r="BQ115" s="39"/>
      <c r="BR115" s="39"/>
      <c r="BS115" s="39"/>
      <c r="BY115" s="39"/>
      <c r="BZ115" s="39"/>
      <c r="CA115" s="39"/>
      <c r="CG115" s="39"/>
      <c r="CH115" s="39"/>
      <c r="CI115" s="39"/>
    </row>
    <row r="116" spans="2:87" ht="15.75" customHeight="1">
      <c r="B116" s="2"/>
      <c r="C116" s="10"/>
      <c r="F116" s="39"/>
      <c r="G116" s="39"/>
      <c r="H116" s="39"/>
      <c r="I116" s="39"/>
      <c r="M116" s="39"/>
      <c r="N116" s="39"/>
      <c r="O116" s="39"/>
      <c r="U116" s="39"/>
      <c r="V116" s="39"/>
      <c r="W116" s="39"/>
      <c r="AC116" s="39"/>
      <c r="AD116" s="39"/>
      <c r="AE116" s="39"/>
      <c r="AK116" s="39"/>
      <c r="AL116" s="39"/>
      <c r="AM116" s="39"/>
      <c r="AS116" s="39"/>
      <c r="AT116" s="39"/>
      <c r="AU116" s="39"/>
      <c r="AZ116" s="40"/>
      <c r="BA116" s="39"/>
      <c r="BB116" s="39"/>
      <c r="BC116" s="39"/>
      <c r="BI116" s="39"/>
      <c r="BJ116" s="39"/>
      <c r="BK116" s="39"/>
      <c r="BQ116" s="39"/>
      <c r="BR116" s="39"/>
      <c r="BS116" s="39"/>
      <c r="BY116" s="39"/>
      <c r="BZ116" s="39"/>
      <c r="CA116" s="39"/>
      <c r="CG116" s="39"/>
      <c r="CH116" s="39"/>
      <c r="CI116" s="39"/>
    </row>
    <row r="117" spans="2:87" ht="15.75" customHeight="1">
      <c r="B117" s="2"/>
      <c r="C117" s="10"/>
      <c r="F117" s="39"/>
      <c r="G117" s="39"/>
      <c r="H117" s="39"/>
      <c r="I117" s="39"/>
      <c r="M117" s="39"/>
      <c r="N117" s="39"/>
      <c r="O117" s="39"/>
      <c r="U117" s="39"/>
      <c r="V117" s="39"/>
      <c r="W117" s="39"/>
      <c r="AC117" s="39"/>
      <c r="AD117" s="39"/>
      <c r="AE117" s="39"/>
      <c r="AK117" s="39"/>
      <c r="AL117" s="39"/>
      <c r="AM117" s="39"/>
      <c r="AS117" s="39"/>
      <c r="AT117" s="39"/>
      <c r="AU117" s="39"/>
      <c r="AZ117" s="40"/>
      <c r="BA117" s="39"/>
      <c r="BB117" s="39"/>
      <c r="BC117" s="39"/>
      <c r="BI117" s="39"/>
      <c r="BJ117" s="39"/>
      <c r="BK117" s="39"/>
      <c r="BQ117" s="39"/>
      <c r="BR117" s="39"/>
      <c r="BS117" s="39"/>
      <c r="BY117" s="39"/>
      <c r="BZ117" s="39"/>
      <c r="CA117" s="39"/>
      <c r="CG117" s="39"/>
      <c r="CH117" s="39"/>
      <c r="CI117" s="39"/>
    </row>
    <row r="118" spans="2:87" ht="15.75" customHeight="1">
      <c r="B118" s="2"/>
      <c r="C118" s="10"/>
      <c r="F118" s="39"/>
      <c r="G118" s="39"/>
      <c r="H118" s="39"/>
      <c r="I118" s="39"/>
      <c r="M118" s="39"/>
      <c r="N118" s="39"/>
      <c r="O118" s="39"/>
      <c r="U118" s="39"/>
      <c r="V118" s="39"/>
      <c r="W118" s="39"/>
      <c r="AC118" s="39"/>
      <c r="AD118" s="39"/>
      <c r="AE118" s="39"/>
      <c r="AK118" s="39"/>
      <c r="AL118" s="39"/>
      <c r="AM118" s="39"/>
      <c r="AS118" s="39"/>
      <c r="AT118" s="39"/>
      <c r="AU118" s="39"/>
      <c r="AZ118" s="40"/>
      <c r="BA118" s="39"/>
      <c r="BB118" s="39"/>
      <c r="BC118" s="39"/>
      <c r="BI118" s="39"/>
      <c r="BJ118" s="39"/>
      <c r="BK118" s="39"/>
      <c r="BQ118" s="39"/>
      <c r="BR118" s="39"/>
      <c r="BS118" s="39"/>
      <c r="BY118" s="39"/>
      <c r="BZ118" s="39"/>
      <c r="CA118" s="39"/>
      <c r="CG118" s="39"/>
      <c r="CH118" s="39"/>
      <c r="CI118" s="39"/>
    </row>
    <row r="119" spans="2:87" ht="15.75" customHeight="1">
      <c r="B119" s="2"/>
      <c r="C119" s="10"/>
      <c r="F119" s="39"/>
      <c r="G119" s="39"/>
      <c r="H119" s="39"/>
      <c r="I119" s="39"/>
      <c r="M119" s="39"/>
      <c r="N119" s="39"/>
      <c r="O119" s="39"/>
      <c r="U119" s="39"/>
      <c r="V119" s="39"/>
      <c r="W119" s="39"/>
      <c r="AC119" s="39"/>
      <c r="AD119" s="39"/>
      <c r="AE119" s="39"/>
      <c r="AK119" s="39"/>
      <c r="AL119" s="39"/>
      <c r="AM119" s="39"/>
      <c r="AS119" s="39"/>
      <c r="AT119" s="39"/>
      <c r="AU119" s="39"/>
      <c r="AZ119" s="40"/>
      <c r="BA119" s="39"/>
      <c r="BB119" s="39"/>
      <c r="BC119" s="39"/>
      <c r="BI119" s="39"/>
      <c r="BJ119" s="39"/>
      <c r="BK119" s="39"/>
      <c r="BQ119" s="39"/>
      <c r="BR119" s="39"/>
      <c r="BS119" s="39"/>
      <c r="BY119" s="39"/>
      <c r="BZ119" s="39"/>
      <c r="CA119" s="39"/>
      <c r="CG119" s="39"/>
      <c r="CH119" s="39"/>
      <c r="CI119" s="39"/>
    </row>
    <row r="120" spans="2:87" ht="15.75" customHeight="1">
      <c r="B120" s="2"/>
      <c r="C120" s="10"/>
      <c r="F120" s="39"/>
      <c r="G120" s="39"/>
      <c r="H120" s="39"/>
      <c r="I120" s="39"/>
      <c r="M120" s="39"/>
      <c r="N120" s="39"/>
      <c r="O120" s="39"/>
      <c r="U120" s="39"/>
      <c r="V120" s="39"/>
      <c r="W120" s="39"/>
      <c r="AC120" s="39"/>
      <c r="AD120" s="39"/>
      <c r="AE120" s="39"/>
      <c r="AK120" s="39"/>
      <c r="AL120" s="39"/>
      <c r="AM120" s="39"/>
      <c r="AS120" s="39"/>
      <c r="AT120" s="39"/>
      <c r="AU120" s="39"/>
      <c r="AZ120" s="40"/>
      <c r="BA120" s="39"/>
      <c r="BB120" s="39"/>
      <c r="BC120" s="39"/>
      <c r="BI120" s="39"/>
      <c r="BJ120" s="39"/>
      <c r="BK120" s="39"/>
      <c r="BQ120" s="39"/>
      <c r="BR120" s="39"/>
      <c r="BS120" s="39"/>
      <c r="BY120" s="39"/>
      <c r="BZ120" s="39"/>
      <c r="CA120" s="39"/>
      <c r="CG120" s="39"/>
      <c r="CH120" s="39"/>
      <c r="CI120" s="39"/>
    </row>
    <row r="121" spans="2:87" ht="15.75" customHeight="1">
      <c r="B121" s="2"/>
      <c r="C121" s="10"/>
      <c r="F121" s="39"/>
      <c r="G121" s="39"/>
      <c r="H121" s="39"/>
      <c r="I121" s="39"/>
      <c r="M121" s="39"/>
      <c r="N121" s="39"/>
      <c r="O121" s="39"/>
      <c r="U121" s="39"/>
      <c r="V121" s="39"/>
      <c r="W121" s="39"/>
      <c r="AC121" s="39"/>
      <c r="AD121" s="39"/>
      <c r="AE121" s="39"/>
      <c r="AK121" s="39"/>
      <c r="AL121" s="39"/>
      <c r="AM121" s="39"/>
      <c r="AS121" s="39"/>
      <c r="AT121" s="39"/>
      <c r="AU121" s="39"/>
      <c r="AZ121" s="40"/>
      <c r="BA121" s="39"/>
      <c r="BB121" s="39"/>
      <c r="BC121" s="39"/>
      <c r="BI121" s="39"/>
      <c r="BJ121" s="39"/>
      <c r="BK121" s="39"/>
      <c r="BQ121" s="39"/>
      <c r="BR121" s="39"/>
      <c r="BS121" s="39"/>
      <c r="BY121" s="39"/>
      <c r="BZ121" s="39"/>
      <c r="CA121" s="39"/>
      <c r="CG121" s="39"/>
      <c r="CH121" s="39"/>
      <c r="CI121" s="39"/>
    </row>
    <row r="122" spans="2:87" ht="15.75" customHeight="1">
      <c r="B122" s="2"/>
      <c r="C122" s="10"/>
      <c r="F122" s="39"/>
      <c r="G122" s="39"/>
      <c r="H122" s="39"/>
      <c r="I122" s="39"/>
      <c r="M122" s="39"/>
      <c r="N122" s="39"/>
      <c r="O122" s="39"/>
      <c r="U122" s="39"/>
      <c r="V122" s="39"/>
      <c r="W122" s="39"/>
      <c r="AC122" s="39"/>
      <c r="AD122" s="39"/>
      <c r="AE122" s="39"/>
      <c r="AK122" s="39"/>
      <c r="AL122" s="39"/>
      <c r="AM122" s="39"/>
      <c r="AS122" s="39"/>
      <c r="AT122" s="39"/>
      <c r="AU122" s="39"/>
      <c r="AZ122" s="40"/>
      <c r="BA122" s="39"/>
      <c r="BB122" s="39"/>
      <c r="BC122" s="39"/>
      <c r="BI122" s="39"/>
      <c r="BJ122" s="39"/>
      <c r="BK122" s="39"/>
      <c r="BQ122" s="39"/>
      <c r="BR122" s="39"/>
      <c r="BS122" s="39"/>
      <c r="BY122" s="39"/>
      <c r="BZ122" s="39"/>
      <c r="CA122" s="39"/>
      <c r="CG122" s="39"/>
      <c r="CH122" s="39"/>
      <c r="CI122" s="39"/>
    </row>
    <row r="123" spans="2:87" ht="15.75" customHeight="1">
      <c r="B123" s="2"/>
      <c r="C123" s="10"/>
      <c r="F123" s="39"/>
      <c r="G123" s="39"/>
      <c r="H123" s="39"/>
      <c r="I123" s="39"/>
      <c r="M123" s="39"/>
      <c r="N123" s="39"/>
      <c r="O123" s="39"/>
      <c r="U123" s="39"/>
      <c r="V123" s="39"/>
      <c r="W123" s="39"/>
      <c r="AC123" s="39"/>
      <c r="AD123" s="39"/>
      <c r="AE123" s="39"/>
      <c r="AK123" s="39"/>
      <c r="AL123" s="39"/>
      <c r="AM123" s="39"/>
      <c r="AS123" s="39"/>
      <c r="AT123" s="39"/>
      <c r="AU123" s="39"/>
      <c r="AZ123" s="40"/>
      <c r="BA123" s="39"/>
      <c r="BB123" s="39"/>
      <c r="BC123" s="39"/>
      <c r="BI123" s="39"/>
      <c r="BJ123" s="39"/>
      <c r="BK123" s="39"/>
      <c r="BQ123" s="39"/>
      <c r="BR123" s="39"/>
      <c r="BS123" s="39"/>
      <c r="BY123" s="39"/>
      <c r="BZ123" s="39"/>
      <c r="CA123" s="39"/>
      <c r="CG123" s="39"/>
      <c r="CH123" s="39"/>
      <c r="CI123" s="39"/>
    </row>
    <row r="124" spans="2:87" ht="15.75" customHeight="1">
      <c r="B124" s="2"/>
      <c r="C124" s="10"/>
      <c r="F124" s="39"/>
      <c r="G124" s="39"/>
      <c r="H124" s="39"/>
      <c r="I124" s="39"/>
      <c r="M124" s="39"/>
      <c r="N124" s="39"/>
      <c r="O124" s="39"/>
      <c r="U124" s="39"/>
      <c r="V124" s="39"/>
      <c r="W124" s="39"/>
      <c r="AC124" s="39"/>
      <c r="AD124" s="39"/>
      <c r="AE124" s="39"/>
      <c r="AK124" s="39"/>
      <c r="AL124" s="39"/>
      <c r="AM124" s="39"/>
      <c r="AS124" s="39"/>
      <c r="AT124" s="39"/>
      <c r="AU124" s="39"/>
      <c r="AZ124" s="40"/>
      <c r="BA124" s="39"/>
      <c r="BB124" s="39"/>
      <c r="BC124" s="39"/>
      <c r="BI124" s="39"/>
      <c r="BJ124" s="39"/>
      <c r="BK124" s="39"/>
      <c r="BQ124" s="39"/>
      <c r="BR124" s="39"/>
      <c r="BS124" s="39"/>
      <c r="BY124" s="39"/>
      <c r="BZ124" s="39"/>
      <c r="CA124" s="39"/>
      <c r="CG124" s="39"/>
      <c r="CH124" s="39"/>
      <c r="CI124" s="39"/>
    </row>
    <row r="125" spans="2:87" ht="15.75" customHeight="1">
      <c r="B125" s="2"/>
      <c r="C125" s="10"/>
      <c r="F125" s="39"/>
      <c r="G125" s="39"/>
      <c r="H125" s="39"/>
      <c r="I125" s="39"/>
      <c r="M125" s="39"/>
      <c r="N125" s="39"/>
      <c r="O125" s="39"/>
      <c r="U125" s="39"/>
      <c r="V125" s="39"/>
      <c r="W125" s="39"/>
      <c r="AC125" s="39"/>
      <c r="AD125" s="39"/>
      <c r="AE125" s="39"/>
      <c r="AK125" s="39"/>
      <c r="AL125" s="39"/>
      <c r="AM125" s="39"/>
      <c r="AS125" s="39"/>
      <c r="AT125" s="39"/>
      <c r="AU125" s="39"/>
      <c r="AZ125" s="40"/>
      <c r="BA125" s="39"/>
      <c r="BB125" s="39"/>
      <c r="BC125" s="39"/>
      <c r="BI125" s="39"/>
      <c r="BJ125" s="39"/>
      <c r="BK125" s="39"/>
      <c r="BQ125" s="39"/>
      <c r="BR125" s="39"/>
      <c r="BS125" s="39"/>
      <c r="BY125" s="39"/>
      <c r="BZ125" s="39"/>
      <c r="CA125" s="39"/>
      <c r="CG125" s="39"/>
      <c r="CH125" s="39"/>
      <c r="CI125" s="39"/>
    </row>
    <row r="126" spans="2:87" ht="15.75" customHeight="1">
      <c r="B126" s="2"/>
      <c r="C126" s="10"/>
      <c r="F126" s="39"/>
      <c r="G126" s="39"/>
      <c r="H126" s="39"/>
      <c r="I126" s="39"/>
      <c r="M126" s="39"/>
      <c r="N126" s="39"/>
      <c r="O126" s="39"/>
      <c r="U126" s="39"/>
      <c r="V126" s="39"/>
      <c r="W126" s="39"/>
      <c r="AC126" s="39"/>
      <c r="AD126" s="39"/>
      <c r="AE126" s="39"/>
      <c r="AK126" s="39"/>
      <c r="AL126" s="39"/>
      <c r="AM126" s="39"/>
      <c r="AS126" s="39"/>
      <c r="AT126" s="39"/>
      <c r="AU126" s="39"/>
      <c r="AZ126" s="40"/>
      <c r="BA126" s="39"/>
      <c r="BB126" s="39"/>
      <c r="BC126" s="39"/>
      <c r="BI126" s="39"/>
      <c r="BJ126" s="39"/>
      <c r="BK126" s="39"/>
      <c r="BQ126" s="39"/>
      <c r="BR126" s="39"/>
      <c r="BS126" s="39"/>
      <c r="BY126" s="39"/>
      <c r="BZ126" s="39"/>
      <c r="CA126" s="39"/>
      <c r="CG126" s="39"/>
      <c r="CH126" s="39"/>
      <c r="CI126" s="39"/>
    </row>
    <row r="127" spans="2:87" ht="15.75" customHeight="1">
      <c r="B127" s="2"/>
      <c r="C127" s="10"/>
      <c r="F127" s="39"/>
      <c r="G127" s="39"/>
      <c r="H127" s="39"/>
      <c r="I127" s="39"/>
      <c r="M127" s="39"/>
      <c r="N127" s="39"/>
      <c r="O127" s="39"/>
      <c r="U127" s="39"/>
      <c r="V127" s="39"/>
      <c r="W127" s="39"/>
      <c r="AC127" s="39"/>
      <c r="AD127" s="39"/>
      <c r="AE127" s="39"/>
      <c r="AK127" s="39"/>
      <c r="AL127" s="39"/>
      <c r="AM127" s="39"/>
      <c r="AS127" s="39"/>
      <c r="AT127" s="39"/>
      <c r="AU127" s="39"/>
      <c r="AZ127" s="40"/>
      <c r="BA127" s="39"/>
      <c r="BB127" s="39"/>
      <c r="BC127" s="39"/>
      <c r="BI127" s="39"/>
      <c r="BJ127" s="39"/>
      <c r="BK127" s="39"/>
      <c r="BQ127" s="39"/>
      <c r="BR127" s="39"/>
      <c r="BS127" s="39"/>
      <c r="BY127" s="39"/>
      <c r="BZ127" s="39"/>
      <c r="CA127" s="39"/>
      <c r="CG127" s="39"/>
      <c r="CH127" s="39"/>
      <c r="CI127" s="39"/>
    </row>
    <row r="128" spans="2:87" ht="15.75" customHeight="1">
      <c r="B128" s="2"/>
      <c r="C128" s="10"/>
      <c r="F128" s="39"/>
      <c r="G128" s="39"/>
      <c r="H128" s="39"/>
      <c r="I128" s="39"/>
      <c r="M128" s="39"/>
      <c r="N128" s="39"/>
      <c r="O128" s="39"/>
      <c r="U128" s="39"/>
      <c r="V128" s="39"/>
      <c r="W128" s="39"/>
      <c r="AC128" s="39"/>
      <c r="AD128" s="39"/>
      <c r="AE128" s="39"/>
      <c r="AK128" s="39"/>
      <c r="AL128" s="39"/>
      <c r="AM128" s="39"/>
      <c r="AS128" s="39"/>
      <c r="AT128" s="39"/>
      <c r="AU128" s="39"/>
      <c r="AZ128" s="40"/>
      <c r="BA128" s="39"/>
      <c r="BB128" s="39"/>
      <c r="BC128" s="39"/>
      <c r="BI128" s="39"/>
      <c r="BJ128" s="39"/>
      <c r="BK128" s="39"/>
      <c r="BQ128" s="39"/>
      <c r="BR128" s="39"/>
      <c r="BS128" s="39"/>
      <c r="BY128" s="39"/>
      <c r="BZ128" s="39"/>
      <c r="CA128" s="39"/>
      <c r="CG128" s="39"/>
      <c r="CH128" s="39"/>
      <c r="CI128" s="39"/>
    </row>
    <row r="129" spans="2:87" ht="15.75" customHeight="1">
      <c r="B129" s="2"/>
      <c r="C129" s="10"/>
      <c r="F129" s="39"/>
      <c r="G129" s="39"/>
      <c r="H129" s="39"/>
      <c r="I129" s="39"/>
      <c r="M129" s="39"/>
      <c r="N129" s="39"/>
      <c r="O129" s="39"/>
      <c r="U129" s="39"/>
      <c r="V129" s="39"/>
      <c r="W129" s="39"/>
      <c r="AC129" s="39"/>
      <c r="AD129" s="39"/>
      <c r="AE129" s="39"/>
      <c r="AK129" s="39"/>
      <c r="AL129" s="39"/>
      <c r="AM129" s="39"/>
      <c r="AS129" s="39"/>
      <c r="AT129" s="39"/>
      <c r="AU129" s="39"/>
      <c r="AZ129" s="40"/>
      <c r="BA129" s="39"/>
      <c r="BB129" s="39"/>
      <c r="BC129" s="39"/>
      <c r="BI129" s="39"/>
      <c r="BJ129" s="39"/>
      <c r="BK129" s="39"/>
      <c r="BQ129" s="39"/>
      <c r="BR129" s="39"/>
      <c r="BS129" s="39"/>
      <c r="BY129" s="39"/>
      <c r="BZ129" s="39"/>
      <c r="CA129" s="39"/>
      <c r="CG129" s="39"/>
      <c r="CH129" s="39"/>
      <c r="CI129" s="39"/>
    </row>
    <row r="130" spans="2:87" ht="15.75" customHeight="1">
      <c r="B130" s="2"/>
      <c r="C130" s="10"/>
      <c r="F130" s="39"/>
      <c r="G130" s="39"/>
      <c r="H130" s="39"/>
      <c r="I130" s="39"/>
      <c r="M130" s="39"/>
      <c r="N130" s="39"/>
      <c r="O130" s="39"/>
      <c r="U130" s="39"/>
      <c r="V130" s="39"/>
      <c r="W130" s="39"/>
      <c r="AC130" s="39"/>
      <c r="AD130" s="39"/>
      <c r="AE130" s="39"/>
      <c r="AK130" s="39"/>
      <c r="AL130" s="39"/>
      <c r="AM130" s="39"/>
      <c r="AS130" s="39"/>
      <c r="AT130" s="39"/>
      <c r="AU130" s="39"/>
      <c r="AZ130" s="40"/>
      <c r="BA130" s="39"/>
      <c r="BB130" s="39"/>
      <c r="BC130" s="39"/>
      <c r="BI130" s="39"/>
      <c r="BJ130" s="39"/>
      <c r="BK130" s="39"/>
      <c r="BQ130" s="39"/>
      <c r="BR130" s="39"/>
      <c r="BS130" s="39"/>
      <c r="BY130" s="39"/>
      <c r="BZ130" s="39"/>
      <c r="CA130" s="39"/>
      <c r="CG130" s="39"/>
      <c r="CH130" s="39"/>
      <c r="CI130" s="39"/>
    </row>
    <row r="131" spans="2:87" ht="15.75" customHeight="1">
      <c r="B131" s="2"/>
      <c r="C131" s="10"/>
      <c r="F131" s="39"/>
      <c r="G131" s="39"/>
      <c r="H131" s="39"/>
      <c r="I131" s="39"/>
      <c r="M131" s="39"/>
      <c r="N131" s="39"/>
      <c r="O131" s="39"/>
      <c r="U131" s="39"/>
      <c r="V131" s="39"/>
      <c r="W131" s="39"/>
      <c r="AC131" s="39"/>
      <c r="AD131" s="39"/>
      <c r="AE131" s="39"/>
      <c r="AK131" s="39"/>
      <c r="AL131" s="39"/>
      <c r="AM131" s="39"/>
      <c r="AS131" s="39"/>
      <c r="AT131" s="39"/>
      <c r="AU131" s="39"/>
      <c r="AZ131" s="40"/>
      <c r="BA131" s="39"/>
      <c r="BB131" s="39"/>
      <c r="BC131" s="39"/>
      <c r="BI131" s="39"/>
      <c r="BJ131" s="39"/>
      <c r="BK131" s="39"/>
      <c r="BQ131" s="39"/>
      <c r="BR131" s="39"/>
      <c r="BS131" s="39"/>
      <c r="BY131" s="39"/>
      <c r="BZ131" s="39"/>
      <c r="CA131" s="39"/>
      <c r="CG131" s="39"/>
      <c r="CH131" s="39"/>
      <c r="CI131" s="39"/>
    </row>
    <row r="132" spans="2:87" ht="15.75" customHeight="1">
      <c r="B132" s="2"/>
      <c r="C132" s="10"/>
      <c r="F132" s="39"/>
      <c r="G132" s="39"/>
      <c r="H132" s="39"/>
      <c r="I132" s="39"/>
      <c r="M132" s="39"/>
      <c r="N132" s="39"/>
      <c r="O132" s="39"/>
      <c r="U132" s="39"/>
      <c r="V132" s="39"/>
      <c r="W132" s="39"/>
      <c r="AC132" s="39"/>
      <c r="AD132" s="39"/>
      <c r="AE132" s="39"/>
      <c r="AK132" s="39"/>
      <c r="AL132" s="39"/>
      <c r="AM132" s="39"/>
      <c r="AS132" s="39"/>
      <c r="AT132" s="39"/>
      <c r="AU132" s="39"/>
      <c r="AZ132" s="40"/>
      <c r="BA132" s="39"/>
      <c r="BB132" s="39"/>
      <c r="BC132" s="39"/>
      <c r="BI132" s="39"/>
      <c r="BJ132" s="39"/>
      <c r="BK132" s="39"/>
      <c r="BQ132" s="39"/>
      <c r="BR132" s="39"/>
      <c r="BS132" s="39"/>
      <c r="BY132" s="39"/>
      <c r="BZ132" s="39"/>
      <c r="CA132" s="39"/>
      <c r="CG132" s="39"/>
      <c r="CH132" s="39"/>
      <c r="CI132" s="39"/>
    </row>
    <row r="133" spans="2:87" ht="15.75" customHeight="1">
      <c r="B133" s="2"/>
      <c r="C133" s="10"/>
      <c r="F133" s="39"/>
      <c r="G133" s="39"/>
      <c r="H133" s="39"/>
      <c r="I133" s="39"/>
      <c r="M133" s="39"/>
      <c r="N133" s="39"/>
      <c r="O133" s="39"/>
      <c r="U133" s="39"/>
      <c r="V133" s="39"/>
      <c r="W133" s="39"/>
      <c r="AC133" s="39"/>
      <c r="AD133" s="39"/>
      <c r="AE133" s="39"/>
      <c r="AK133" s="39"/>
      <c r="AL133" s="39"/>
      <c r="AM133" s="39"/>
      <c r="AS133" s="39"/>
      <c r="AT133" s="39"/>
      <c r="AU133" s="39"/>
      <c r="AZ133" s="40"/>
      <c r="BA133" s="39"/>
      <c r="BB133" s="39"/>
      <c r="BC133" s="39"/>
      <c r="BI133" s="39"/>
      <c r="BJ133" s="39"/>
      <c r="BK133" s="39"/>
      <c r="BQ133" s="39"/>
      <c r="BR133" s="39"/>
      <c r="BS133" s="39"/>
      <c r="BY133" s="39"/>
      <c r="BZ133" s="39"/>
      <c r="CA133" s="39"/>
      <c r="CG133" s="39"/>
      <c r="CH133" s="39"/>
      <c r="CI133" s="39"/>
    </row>
    <row r="134" spans="2:87" ht="15.75" customHeight="1">
      <c r="B134" s="2"/>
      <c r="C134" s="10"/>
      <c r="F134" s="39"/>
      <c r="G134" s="39"/>
      <c r="H134" s="39"/>
      <c r="I134" s="39"/>
      <c r="M134" s="39"/>
      <c r="N134" s="39"/>
      <c r="O134" s="39"/>
      <c r="U134" s="39"/>
      <c r="V134" s="39"/>
      <c r="W134" s="39"/>
      <c r="AC134" s="39"/>
      <c r="AD134" s="39"/>
      <c r="AE134" s="39"/>
      <c r="AK134" s="39"/>
      <c r="AL134" s="39"/>
      <c r="AM134" s="39"/>
      <c r="AS134" s="39"/>
      <c r="AT134" s="39"/>
      <c r="AU134" s="39"/>
      <c r="AZ134" s="40"/>
      <c r="BA134" s="39"/>
      <c r="BB134" s="39"/>
      <c r="BC134" s="39"/>
      <c r="BI134" s="39"/>
      <c r="BJ134" s="39"/>
      <c r="BK134" s="39"/>
      <c r="BQ134" s="39"/>
      <c r="BR134" s="39"/>
      <c r="BS134" s="39"/>
      <c r="BY134" s="39"/>
      <c r="BZ134" s="39"/>
      <c r="CA134" s="39"/>
      <c r="CG134" s="39"/>
      <c r="CH134" s="39"/>
      <c r="CI134" s="39"/>
    </row>
    <row r="135" spans="2:87" ht="15.75" customHeight="1">
      <c r="B135" s="2"/>
      <c r="C135" s="10"/>
      <c r="F135" s="39"/>
      <c r="G135" s="39"/>
      <c r="H135" s="39"/>
      <c r="I135" s="39"/>
      <c r="M135" s="39"/>
      <c r="N135" s="39"/>
      <c r="O135" s="39"/>
      <c r="U135" s="39"/>
      <c r="V135" s="39"/>
      <c r="W135" s="39"/>
      <c r="AC135" s="39"/>
      <c r="AD135" s="39"/>
      <c r="AE135" s="39"/>
      <c r="AK135" s="39"/>
      <c r="AL135" s="39"/>
      <c r="AM135" s="39"/>
      <c r="AS135" s="39"/>
      <c r="AT135" s="39"/>
      <c r="AU135" s="39"/>
      <c r="AZ135" s="40"/>
      <c r="BA135" s="39"/>
      <c r="BB135" s="39"/>
      <c r="BC135" s="39"/>
      <c r="BI135" s="39"/>
      <c r="BJ135" s="39"/>
      <c r="BK135" s="39"/>
      <c r="BQ135" s="39"/>
      <c r="BR135" s="39"/>
      <c r="BS135" s="39"/>
      <c r="BY135" s="39"/>
      <c r="BZ135" s="39"/>
      <c r="CA135" s="39"/>
      <c r="CG135" s="39"/>
      <c r="CH135" s="39"/>
      <c r="CI135" s="39"/>
    </row>
    <row r="136" spans="2:87" ht="15.75" customHeight="1">
      <c r="B136" s="2"/>
      <c r="C136" s="10"/>
      <c r="F136" s="39"/>
      <c r="G136" s="39"/>
      <c r="H136" s="39"/>
      <c r="I136" s="39"/>
      <c r="M136" s="39"/>
      <c r="N136" s="39"/>
      <c r="O136" s="39"/>
      <c r="U136" s="39"/>
      <c r="V136" s="39"/>
      <c r="W136" s="39"/>
      <c r="AC136" s="39"/>
      <c r="AD136" s="39"/>
      <c r="AE136" s="39"/>
      <c r="AK136" s="39"/>
      <c r="AL136" s="39"/>
      <c r="AM136" s="39"/>
      <c r="AS136" s="39"/>
      <c r="AT136" s="39"/>
      <c r="AU136" s="39"/>
      <c r="AZ136" s="40"/>
      <c r="BA136" s="39"/>
      <c r="BB136" s="39"/>
      <c r="BC136" s="39"/>
      <c r="BI136" s="39"/>
      <c r="BJ136" s="39"/>
      <c r="BK136" s="39"/>
      <c r="BQ136" s="39"/>
      <c r="BR136" s="39"/>
      <c r="BS136" s="39"/>
      <c r="BY136" s="39"/>
      <c r="BZ136" s="39"/>
      <c r="CA136" s="39"/>
      <c r="CG136" s="39"/>
      <c r="CH136" s="39"/>
      <c r="CI136" s="39"/>
    </row>
    <row r="137" spans="2:87" ht="15.75" customHeight="1">
      <c r="B137" s="2"/>
      <c r="C137" s="10"/>
      <c r="F137" s="39"/>
      <c r="G137" s="39"/>
      <c r="H137" s="39"/>
      <c r="I137" s="39"/>
      <c r="M137" s="39"/>
      <c r="N137" s="39"/>
      <c r="O137" s="39"/>
      <c r="U137" s="39"/>
      <c r="V137" s="39"/>
      <c r="W137" s="39"/>
      <c r="AC137" s="39"/>
      <c r="AD137" s="39"/>
      <c r="AE137" s="39"/>
      <c r="AK137" s="39"/>
      <c r="AL137" s="39"/>
      <c r="AM137" s="39"/>
      <c r="AS137" s="39"/>
      <c r="AT137" s="39"/>
      <c r="AU137" s="39"/>
      <c r="AZ137" s="40"/>
      <c r="BA137" s="39"/>
      <c r="BB137" s="39"/>
      <c r="BC137" s="39"/>
      <c r="BI137" s="39"/>
      <c r="BJ137" s="39"/>
      <c r="BK137" s="39"/>
      <c r="BQ137" s="39"/>
      <c r="BR137" s="39"/>
      <c r="BS137" s="39"/>
      <c r="BY137" s="39"/>
      <c r="BZ137" s="39"/>
      <c r="CA137" s="39"/>
      <c r="CG137" s="39"/>
      <c r="CH137" s="39"/>
      <c r="CI137" s="39"/>
    </row>
    <row r="138" spans="2:87" ht="15.75" customHeight="1">
      <c r="B138" s="2"/>
      <c r="C138" s="10"/>
      <c r="F138" s="39"/>
      <c r="G138" s="39"/>
      <c r="H138" s="39"/>
      <c r="I138" s="39"/>
      <c r="M138" s="39"/>
      <c r="N138" s="39"/>
      <c r="O138" s="39"/>
      <c r="U138" s="39"/>
      <c r="V138" s="39"/>
      <c r="W138" s="39"/>
      <c r="AC138" s="39"/>
      <c r="AD138" s="39"/>
      <c r="AE138" s="39"/>
      <c r="AK138" s="39"/>
      <c r="AL138" s="39"/>
      <c r="AM138" s="39"/>
      <c r="AS138" s="39"/>
      <c r="AT138" s="39"/>
      <c r="AU138" s="39"/>
      <c r="AZ138" s="40"/>
      <c r="BA138" s="39"/>
      <c r="BB138" s="39"/>
      <c r="BC138" s="39"/>
      <c r="BI138" s="39"/>
      <c r="BJ138" s="39"/>
      <c r="BK138" s="39"/>
      <c r="BQ138" s="39"/>
      <c r="BR138" s="39"/>
      <c r="BS138" s="39"/>
      <c r="BY138" s="39"/>
      <c r="BZ138" s="39"/>
      <c r="CA138" s="39"/>
      <c r="CG138" s="39"/>
      <c r="CH138" s="39"/>
      <c r="CI138" s="39"/>
    </row>
    <row r="139" spans="2:87" ht="15.75" customHeight="1">
      <c r="B139" s="2"/>
      <c r="C139" s="10"/>
      <c r="F139" s="39"/>
      <c r="G139" s="39"/>
      <c r="H139" s="39"/>
      <c r="I139" s="39"/>
      <c r="M139" s="39"/>
      <c r="N139" s="39"/>
      <c r="O139" s="39"/>
      <c r="U139" s="39"/>
      <c r="V139" s="39"/>
      <c r="W139" s="39"/>
      <c r="AC139" s="39"/>
      <c r="AD139" s="39"/>
      <c r="AE139" s="39"/>
      <c r="AK139" s="39"/>
      <c r="AL139" s="39"/>
      <c r="AM139" s="39"/>
      <c r="AS139" s="39"/>
      <c r="AT139" s="39"/>
      <c r="AU139" s="39"/>
      <c r="AZ139" s="40"/>
      <c r="BA139" s="39"/>
      <c r="BB139" s="39"/>
      <c r="BC139" s="39"/>
      <c r="BI139" s="39"/>
      <c r="BJ139" s="39"/>
      <c r="BK139" s="39"/>
      <c r="BQ139" s="39"/>
      <c r="BR139" s="39"/>
      <c r="BS139" s="39"/>
      <c r="BY139" s="39"/>
      <c r="BZ139" s="39"/>
      <c r="CA139" s="39"/>
      <c r="CG139" s="39"/>
      <c r="CH139" s="39"/>
      <c r="CI139" s="39"/>
    </row>
    <row r="140" spans="2:87" ht="15.75" customHeight="1">
      <c r="B140" s="2"/>
      <c r="C140" s="10"/>
      <c r="F140" s="39"/>
      <c r="G140" s="39"/>
      <c r="H140" s="39"/>
      <c r="I140" s="39"/>
      <c r="M140" s="39"/>
      <c r="N140" s="39"/>
      <c r="O140" s="39"/>
      <c r="U140" s="39"/>
      <c r="V140" s="39"/>
      <c r="W140" s="39"/>
      <c r="AC140" s="39"/>
      <c r="AD140" s="39"/>
      <c r="AE140" s="39"/>
      <c r="AK140" s="39"/>
      <c r="AL140" s="39"/>
      <c r="AM140" s="39"/>
      <c r="AS140" s="39"/>
      <c r="AT140" s="39"/>
      <c r="AU140" s="39"/>
      <c r="AZ140" s="40"/>
      <c r="BA140" s="39"/>
      <c r="BB140" s="39"/>
      <c r="BC140" s="39"/>
      <c r="BI140" s="39"/>
      <c r="BJ140" s="39"/>
      <c r="BK140" s="39"/>
      <c r="BQ140" s="39"/>
      <c r="BR140" s="39"/>
      <c r="BS140" s="39"/>
      <c r="BY140" s="39"/>
      <c r="BZ140" s="39"/>
      <c r="CA140" s="39"/>
      <c r="CG140" s="39"/>
      <c r="CH140" s="39"/>
      <c r="CI140" s="39"/>
    </row>
    <row r="141" spans="2:87" ht="15.75" customHeight="1">
      <c r="B141" s="2"/>
      <c r="C141" s="10"/>
      <c r="F141" s="39"/>
      <c r="G141" s="39"/>
      <c r="H141" s="39"/>
      <c r="I141" s="39"/>
      <c r="M141" s="39"/>
      <c r="N141" s="39"/>
      <c r="O141" s="39"/>
      <c r="U141" s="39"/>
      <c r="V141" s="39"/>
      <c r="W141" s="39"/>
      <c r="AC141" s="39"/>
      <c r="AD141" s="39"/>
      <c r="AE141" s="39"/>
      <c r="AK141" s="39"/>
      <c r="AL141" s="39"/>
      <c r="AM141" s="39"/>
      <c r="AS141" s="39"/>
      <c r="AT141" s="39"/>
      <c r="AU141" s="39"/>
      <c r="AZ141" s="40"/>
      <c r="BA141" s="39"/>
      <c r="BB141" s="39"/>
      <c r="BC141" s="39"/>
      <c r="BI141" s="39"/>
      <c r="BJ141" s="39"/>
      <c r="BK141" s="39"/>
      <c r="BQ141" s="39"/>
      <c r="BR141" s="39"/>
      <c r="BS141" s="39"/>
      <c r="BY141" s="39"/>
      <c r="BZ141" s="39"/>
      <c r="CA141" s="39"/>
      <c r="CG141" s="39"/>
      <c r="CH141" s="39"/>
      <c r="CI141" s="39"/>
    </row>
    <row r="142" spans="2:87" ht="15.75" customHeight="1">
      <c r="B142" s="2"/>
      <c r="C142" s="10"/>
      <c r="F142" s="39"/>
      <c r="G142" s="39"/>
      <c r="H142" s="39"/>
      <c r="I142" s="39"/>
      <c r="M142" s="39"/>
      <c r="N142" s="39"/>
      <c r="O142" s="39"/>
      <c r="U142" s="39"/>
      <c r="V142" s="39"/>
      <c r="W142" s="39"/>
      <c r="AC142" s="39"/>
      <c r="AD142" s="39"/>
      <c r="AE142" s="39"/>
      <c r="AK142" s="39"/>
      <c r="AL142" s="39"/>
      <c r="AM142" s="39"/>
      <c r="AS142" s="39"/>
      <c r="AT142" s="39"/>
      <c r="AU142" s="39"/>
      <c r="AZ142" s="40"/>
      <c r="BA142" s="39"/>
      <c r="BB142" s="39"/>
      <c r="BC142" s="39"/>
      <c r="BI142" s="39"/>
      <c r="BJ142" s="39"/>
      <c r="BK142" s="39"/>
      <c r="BQ142" s="39"/>
      <c r="BR142" s="39"/>
      <c r="BS142" s="39"/>
      <c r="BY142" s="39"/>
      <c r="BZ142" s="39"/>
      <c r="CA142" s="39"/>
      <c r="CG142" s="39"/>
      <c r="CH142" s="39"/>
      <c r="CI142" s="39"/>
    </row>
    <row r="143" spans="2:87" ht="15.75" customHeight="1">
      <c r="B143" s="2"/>
      <c r="C143" s="10"/>
      <c r="F143" s="39"/>
      <c r="G143" s="39"/>
      <c r="H143" s="39"/>
      <c r="I143" s="39"/>
      <c r="M143" s="39"/>
      <c r="N143" s="39"/>
      <c r="O143" s="39"/>
      <c r="U143" s="39"/>
      <c r="V143" s="39"/>
      <c r="W143" s="39"/>
      <c r="AC143" s="39"/>
      <c r="AD143" s="39"/>
      <c r="AE143" s="39"/>
      <c r="AK143" s="39"/>
      <c r="AL143" s="39"/>
      <c r="AM143" s="39"/>
      <c r="AS143" s="39"/>
      <c r="AT143" s="39"/>
      <c r="AU143" s="39"/>
      <c r="AZ143" s="40"/>
      <c r="BA143" s="39"/>
      <c r="BB143" s="39"/>
      <c r="BC143" s="39"/>
      <c r="BI143" s="39"/>
      <c r="BJ143" s="39"/>
      <c r="BK143" s="39"/>
      <c r="BQ143" s="39"/>
      <c r="BR143" s="39"/>
      <c r="BS143" s="39"/>
      <c r="BY143" s="39"/>
      <c r="BZ143" s="39"/>
      <c r="CA143" s="39"/>
      <c r="CG143" s="39"/>
      <c r="CH143" s="39"/>
      <c r="CI143" s="39"/>
    </row>
    <row r="144" spans="2:87" ht="15.75" customHeight="1">
      <c r="B144" s="2"/>
      <c r="C144" s="10"/>
      <c r="F144" s="39"/>
      <c r="G144" s="39"/>
      <c r="H144" s="39"/>
      <c r="I144" s="39"/>
      <c r="M144" s="39"/>
      <c r="N144" s="39"/>
      <c r="O144" s="39"/>
      <c r="U144" s="39"/>
      <c r="V144" s="39"/>
      <c r="W144" s="39"/>
      <c r="AC144" s="39"/>
      <c r="AD144" s="39"/>
      <c r="AE144" s="39"/>
      <c r="AK144" s="39"/>
      <c r="AL144" s="39"/>
      <c r="AM144" s="39"/>
      <c r="AS144" s="39"/>
      <c r="AT144" s="39"/>
      <c r="AU144" s="39"/>
      <c r="AZ144" s="40"/>
      <c r="BA144" s="39"/>
      <c r="BB144" s="39"/>
      <c r="BC144" s="39"/>
      <c r="BI144" s="39"/>
      <c r="BJ144" s="39"/>
      <c r="BK144" s="39"/>
      <c r="BQ144" s="39"/>
      <c r="BR144" s="39"/>
      <c r="BS144" s="39"/>
      <c r="BY144" s="39"/>
      <c r="BZ144" s="39"/>
      <c r="CA144" s="39"/>
      <c r="CG144" s="39"/>
      <c r="CH144" s="39"/>
      <c r="CI144" s="39"/>
    </row>
    <row r="145" spans="2:87" ht="15.75" customHeight="1">
      <c r="B145" s="2"/>
      <c r="C145" s="10"/>
      <c r="F145" s="39"/>
      <c r="G145" s="39"/>
      <c r="H145" s="39"/>
      <c r="I145" s="39"/>
      <c r="M145" s="39"/>
      <c r="N145" s="39"/>
      <c r="O145" s="39"/>
      <c r="U145" s="39"/>
      <c r="V145" s="39"/>
      <c r="W145" s="39"/>
      <c r="AC145" s="39"/>
      <c r="AD145" s="39"/>
      <c r="AE145" s="39"/>
      <c r="AK145" s="39"/>
      <c r="AL145" s="39"/>
      <c r="AM145" s="39"/>
      <c r="AS145" s="39"/>
      <c r="AT145" s="39"/>
      <c r="AU145" s="39"/>
      <c r="AZ145" s="40"/>
      <c r="BA145" s="39"/>
      <c r="BB145" s="39"/>
      <c r="BC145" s="39"/>
      <c r="BI145" s="39"/>
      <c r="BJ145" s="39"/>
      <c r="BK145" s="39"/>
      <c r="BQ145" s="39"/>
      <c r="BR145" s="39"/>
      <c r="BS145" s="39"/>
      <c r="BY145" s="39"/>
      <c r="BZ145" s="39"/>
      <c r="CA145" s="39"/>
      <c r="CG145" s="39"/>
      <c r="CH145" s="39"/>
      <c r="CI145" s="39"/>
    </row>
    <row r="146" spans="2:87" ht="15.75" customHeight="1">
      <c r="B146" s="2"/>
      <c r="C146" s="10"/>
      <c r="F146" s="39"/>
      <c r="G146" s="39"/>
      <c r="H146" s="39"/>
      <c r="I146" s="39"/>
      <c r="M146" s="39"/>
      <c r="N146" s="39"/>
      <c r="O146" s="39"/>
      <c r="U146" s="39"/>
      <c r="V146" s="39"/>
      <c r="W146" s="39"/>
      <c r="AC146" s="39"/>
      <c r="AD146" s="39"/>
      <c r="AE146" s="39"/>
      <c r="AK146" s="39"/>
      <c r="AL146" s="39"/>
      <c r="AM146" s="39"/>
      <c r="AS146" s="39"/>
      <c r="AT146" s="39"/>
      <c r="AU146" s="39"/>
      <c r="AZ146" s="40"/>
      <c r="BA146" s="39"/>
      <c r="BB146" s="39"/>
      <c r="BC146" s="39"/>
      <c r="BI146" s="39"/>
      <c r="BJ146" s="39"/>
      <c r="BK146" s="39"/>
      <c r="BQ146" s="39"/>
      <c r="BR146" s="39"/>
      <c r="BS146" s="39"/>
      <c r="BY146" s="39"/>
      <c r="BZ146" s="39"/>
      <c r="CA146" s="39"/>
      <c r="CG146" s="39"/>
      <c r="CH146" s="39"/>
      <c r="CI146" s="39"/>
    </row>
    <row r="147" spans="2:87" ht="15.75" customHeight="1">
      <c r="B147" s="2"/>
      <c r="C147" s="10"/>
      <c r="F147" s="39"/>
      <c r="G147" s="39"/>
      <c r="H147" s="39"/>
      <c r="I147" s="39"/>
      <c r="M147" s="39"/>
      <c r="N147" s="39"/>
      <c r="O147" s="39"/>
      <c r="U147" s="39"/>
      <c r="V147" s="39"/>
      <c r="W147" s="39"/>
      <c r="AC147" s="39"/>
      <c r="AD147" s="39"/>
      <c r="AE147" s="39"/>
      <c r="AK147" s="39"/>
      <c r="AL147" s="39"/>
      <c r="AM147" s="39"/>
      <c r="AS147" s="39"/>
      <c r="AT147" s="39"/>
      <c r="AU147" s="39"/>
      <c r="AZ147" s="40"/>
      <c r="BA147" s="39"/>
      <c r="BB147" s="39"/>
      <c r="BC147" s="39"/>
      <c r="BI147" s="39"/>
      <c r="BJ147" s="39"/>
      <c r="BK147" s="39"/>
      <c r="BQ147" s="39"/>
      <c r="BR147" s="39"/>
      <c r="BS147" s="39"/>
      <c r="BY147" s="39"/>
      <c r="BZ147" s="39"/>
      <c r="CA147" s="39"/>
      <c r="CG147" s="39"/>
      <c r="CH147" s="39"/>
      <c r="CI147" s="39"/>
    </row>
    <row r="148" spans="2:87" ht="15.75" customHeight="1">
      <c r="B148" s="2"/>
      <c r="C148" s="10"/>
      <c r="F148" s="39"/>
      <c r="G148" s="39"/>
      <c r="H148" s="39"/>
      <c r="I148" s="39"/>
      <c r="M148" s="39"/>
      <c r="N148" s="39"/>
      <c r="O148" s="39"/>
      <c r="U148" s="39"/>
      <c r="V148" s="39"/>
      <c r="W148" s="39"/>
      <c r="AC148" s="39"/>
      <c r="AD148" s="39"/>
      <c r="AE148" s="39"/>
      <c r="AK148" s="39"/>
      <c r="AL148" s="39"/>
      <c r="AM148" s="39"/>
      <c r="AS148" s="39"/>
      <c r="AT148" s="39"/>
      <c r="AU148" s="39"/>
      <c r="AZ148" s="40"/>
      <c r="BA148" s="39"/>
      <c r="BB148" s="39"/>
      <c r="BC148" s="39"/>
      <c r="BI148" s="39"/>
      <c r="BJ148" s="39"/>
      <c r="BK148" s="39"/>
      <c r="BQ148" s="39"/>
      <c r="BR148" s="39"/>
      <c r="BS148" s="39"/>
      <c r="BY148" s="39"/>
      <c r="BZ148" s="39"/>
      <c r="CA148" s="39"/>
      <c r="CG148" s="39"/>
      <c r="CH148" s="39"/>
      <c r="CI148" s="39"/>
    </row>
    <row r="149" spans="2:87" ht="15.75" customHeight="1">
      <c r="B149" s="2"/>
      <c r="C149" s="10"/>
      <c r="F149" s="39"/>
      <c r="G149" s="39"/>
      <c r="H149" s="39"/>
      <c r="I149" s="39"/>
      <c r="M149" s="39"/>
      <c r="N149" s="39"/>
      <c r="O149" s="39"/>
      <c r="U149" s="39"/>
      <c r="V149" s="39"/>
      <c r="W149" s="39"/>
      <c r="AC149" s="39"/>
      <c r="AD149" s="39"/>
      <c r="AE149" s="39"/>
      <c r="AK149" s="39"/>
      <c r="AL149" s="39"/>
      <c r="AM149" s="39"/>
      <c r="AS149" s="39"/>
      <c r="AT149" s="39"/>
      <c r="AU149" s="39"/>
      <c r="AZ149" s="40"/>
      <c r="BA149" s="39"/>
      <c r="BB149" s="39"/>
      <c r="BC149" s="39"/>
      <c r="BI149" s="39"/>
      <c r="BJ149" s="39"/>
      <c r="BK149" s="39"/>
      <c r="BQ149" s="39"/>
      <c r="BR149" s="39"/>
      <c r="BS149" s="39"/>
      <c r="BY149" s="39"/>
      <c r="BZ149" s="39"/>
      <c r="CA149" s="39"/>
      <c r="CG149" s="39"/>
      <c r="CH149" s="39"/>
      <c r="CI149" s="39"/>
    </row>
    <row r="150" spans="2:87" ht="15.75" customHeight="1">
      <c r="B150" s="2"/>
      <c r="C150" s="10"/>
      <c r="F150" s="39"/>
      <c r="G150" s="39"/>
      <c r="H150" s="39"/>
      <c r="I150" s="39"/>
      <c r="M150" s="39"/>
      <c r="N150" s="39"/>
      <c r="O150" s="39"/>
      <c r="U150" s="39"/>
      <c r="V150" s="39"/>
      <c r="W150" s="39"/>
      <c r="AC150" s="39"/>
      <c r="AD150" s="39"/>
      <c r="AE150" s="39"/>
      <c r="AK150" s="39"/>
      <c r="AL150" s="39"/>
      <c r="AM150" s="39"/>
      <c r="AS150" s="39"/>
      <c r="AT150" s="39"/>
      <c r="AU150" s="39"/>
      <c r="AZ150" s="40"/>
      <c r="BA150" s="39"/>
      <c r="BB150" s="39"/>
      <c r="BC150" s="39"/>
      <c r="BI150" s="39"/>
      <c r="BJ150" s="39"/>
      <c r="BK150" s="39"/>
      <c r="BQ150" s="39"/>
      <c r="BR150" s="39"/>
      <c r="BS150" s="39"/>
      <c r="BY150" s="39"/>
      <c r="BZ150" s="39"/>
      <c r="CA150" s="39"/>
      <c r="CG150" s="39"/>
      <c r="CH150" s="39"/>
      <c r="CI150" s="39"/>
    </row>
    <row r="151" spans="2:87" ht="15.75" customHeight="1">
      <c r="B151" s="2"/>
      <c r="C151" s="10"/>
      <c r="F151" s="39"/>
      <c r="G151" s="39"/>
      <c r="H151" s="39"/>
      <c r="I151" s="39"/>
      <c r="M151" s="39"/>
      <c r="N151" s="39"/>
      <c r="O151" s="39"/>
      <c r="U151" s="39"/>
      <c r="V151" s="39"/>
      <c r="W151" s="39"/>
      <c r="AC151" s="39"/>
      <c r="AD151" s="39"/>
      <c r="AE151" s="39"/>
      <c r="AK151" s="39"/>
      <c r="AL151" s="39"/>
      <c r="AM151" s="39"/>
      <c r="AS151" s="39"/>
      <c r="AT151" s="39"/>
      <c r="AU151" s="39"/>
      <c r="AZ151" s="40"/>
      <c r="BA151" s="39"/>
      <c r="BB151" s="39"/>
      <c r="BC151" s="39"/>
      <c r="BI151" s="39"/>
      <c r="BJ151" s="39"/>
      <c r="BK151" s="39"/>
      <c r="BQ151" s="39"/>
      <c r="BR151" s="39"/>
      <c r="BS151" s="39"/>
      <c r="BY151" s="39"/>
      <c r="BZ151" s="39"/>
      <c r="CA151" s="39"/>
      <c r="CG151" s="39"/>
      <c r="CH151" s="39"/>
      <c r="CI151" s="39"/>
    </row>
    <row r="152" spans="2:87" ht="15.75" customHeight="1">
      <c r="B152" s="2"/>
      <c r="C152" s="10"/>
      <c r="F152" s="39"/>
      <c r="G152" s="39"/>
      <c r="H152" s="39"/>
      <c r="I152" s="39"/>
      <c r="M152" s="39"/>
      <c r="N152" s="39"/>
      <c r="O152" s="39"/>
      <c r="U152" s="39"/>
      <c r="V152" s="39"/>
      <c r="W152" s="39"/>
      <c r="AC152" s="39"/>
      <c r="AD152" s="39"/>
      <c r="AE152" s="39"/>
      <c r="AK152" s="39"/>
      <c r="AL152" s="39"/>
      <c r="AM152" s="39"/>
      <c r="AS152" s="39"/>
      <c r="AT152" s="39"/>
      <c r="AU152" s="39"/>
      <c r="AZ152" s="40"/>
      <c r="BA152" s="39"/>
      <c r="BB152" s="39"/>
      <c r="BC152" s="39"/>
      <c r="BI152" s="39"/>
      <c r="BJ152" s="39"/>
      <c r="BK152" s="39"/>
      <c r="BQ152" s="39"/>
      <c r="BR152" s="39"/>
      <c r="BS152" s="39"/>
      <c r="BY152" s="39"/>
      <c r="BZ152" s="39"/>
      <c r="CA152" s="39"/>
      <c r="CG152" s="39"/>
      <c r="CH152" s="39"/>
      <c r="CI152" s="39"/>
    </row>
    <row r="153" spans="2:87" ht="15.75" customHeight="1">
      <c r="B153" s="2"/>
      <c r="C153" s="10"/>
      <c r="F153" s="39"/>
      <c r="G153" s="39"/>
      <c r="H153" s="39"/>
      <c r="I153" s="39"/>
      <c r="M153" s="39"/>
      <c r="N153" s="39"/>
      <c r="O153" s="39"/>
      <c r="U153" s="39"/>
      <c r="V153" s="39"/>
      <c r="W153" s="39"/>
      <c r="AC153" s="39"/>
      <c r="AD153" s="39"/>
      <c r="AE153" s="39"/>
      <c r="AK153" s="39"/>
      <c r="AL153" s="39"/>
      <c r="AM153" s="39"/>
      <c r="AS153" s="39"/>
      <c r="AT153" s="39"/>
      <c r="AU153" s="39"/>
      <c r="AZ153" s="40"/>
      <c r="BA153" s="39"/>
      <c r="BB153" s="39"/>
      <c r="BC153" s="39"/>
      <c r="BI153" s="39"/>
      <c r="BJ153" s="39"/>
      <c r="BK153" s="39"/>
      <c r="BQ153" s="39"/>
      <c r="BR153" s="39"/>
      <c r="BS153" s="39"/>
      <c r="BY153" s="39"/>
      <c r="BZ153" s="39"/>
      <c r="CA153" s="39"/>
      <c r="CG153" s="39"/>
      <c r="CH153" s="39"/>
      <c r="CI153" s="39"/>
    </row>
    <row r="154" spans="2:87" ht="15.75" customHeight="1">
      <c r="B154" s="2"/>
      <c r="C154" s="10"/>
      <c r="F154" s="39"/>
      <c r="G154" s="39"/>
      <c r="H154" s="39"/>
      <c r="I154" s="39"/>
      <c r="M154" s="39"/>
      <c r="N154" s="39"/>
      <c r="O154" s="39"/>
      <c r="U154" s="39"/>
      <c r="V154" s="39"/>
      <c r="W154" s="39"/>
      <c r="AC154" s="39"/>
      <c r="AD154" s="39"/>
      <c r="AE154" s="39"/>
      <c r="AK154" s="39"/>
      <c r="AL154" s="39"/>
      <c r="AM154" s="39"/>
      <c r="AS154" s="39"/>
      <c r="AT154" s="39"/>
      <c r="AU154" s="39"/>
      <c r="AZ154" s="40"/>
      <c r="BA154" s="39"/>
      <c r="BB154" s="39"/>
      <c r="BC154" s="39"/>
      <c r="BI154" s="39"/>
      <c r="BJ154" s="39"/>
      <c r="BK154" s="39"/>
      <c r="BQ154" s="39"/>
      <c r="BR154" s="39"/>
      <c r="BS154" s="39"/>
      <c r="BY154" s="39"/>
      <c r="BZ154" s="39"/>
      <c r="CA154" s="39"/>
      <c r="CG154" s="39"/>
      <c r="CH154" s="39"/>
      <c r="CI154" s="39"/>
    </row>
    <row r="155" spans="2:87" ht="15.75" customHeight="1">
      <c r="B155" s="2"/>
      <c r="C155" s="10"/>
      <c r="F155" s="39"/>
      <c r="G155" s="39"/>
      <c r="H155" s="39"/>
      <c r="I155" s="39"/>
      <c r="M155" s="39"/>
      <c r="N155" s="39"/>
      <c r="O155" s="39"/>
      <c r="U155" s="39"/>
      <c r="V155" s="39"/>
      <c r="W155" s="39"/>
      <c r="AC155" s="39"/>
      <c r="AD155" s="39"/>
      <c r="AE155" s="39"/>
      <c r="AK155" s="39"/>
      <c r="AL155" s="39"/>
      <c r="AM155" s="39"/>
      <c r="AS155" s="39"/>
      <c r="AT155" s="39"/>
      <c r="AU155" s="39"/>
      <c r="AZ155" s="40"/>
      <c r="BA155" s="39"/>
      <c r="BB155" s="39"/>
      <c r="BC155" s="39"/>
      <c r="BI155" s="39"/>
      <c r="BJ155" s="39"/>
      <c r="BK155" s="39"/>
      <c r="BQ155" s="39"/>
      <c r="BR155" s="39"/>
      <c r="BS155" s="39"/>
      <c r="BY155" s="39"/>
      <c r="BZ155" s="39"/>
      <c r="CA155" s="39"/>
      <c r="CG155" s="39"/>
      <c r="CH155" s="39"/>
      <c r="CI155" s="39"/>
    </row>
    <row r="156" spans="2:87" ht="15.75" customHeight="1">
      <c r="B156" s="2"/>
      <c r="C156" s="10"/>
      <c r="F156" s="39"/>
      <c r="G156" s="39"/>
      <c r="H156" s="39"/>
      <c r="I156" s="39"/>
      <c r="M156" s="39"/>
      <c r="N156" s="39"/>
      <c r="O156" s="39"/>
      <c r="U156" s="39"/>
      <c r="V156" s="39"/>
      <c r="W156" s="39"/>
      <c r="AC156" s="39"/>
      <c r="AD156" s="39"/>
      <c r="AE156" s="39"/>
      <c r="AK156" s="39"/>
      <c r="AL156" s="39"/>
      <c r="AM156" s="39"/>
      <c r="AS156" s="39"/>
      <c r="AT156" s="39"/>
      <c r="AU156" s="39"/>
      <c r="AZ156" s="40"/>
      <c r="BA156" s="39"/>
      <c r="BB156" s="39"/>
      <c r="BC156" s="39"/>
      <c r="BI156" s="39"/>
      <c r="BJ156" s="39"/>
      <c r="BK156" s="39"/>
      <c r="BQ156" s="39"/>
      <c r="BR156" s="39"/>
      <c r="BS156" s="39"/>
      <c r="BY156" s="39"/>
      <c r="BZ156" s="39"/>
      <c r="CA156" s="39"/>
      <c r="CG156" s="39"/>
      <c r="CH156" s="39"/>
      <c r="CI156" s="39"/>
    </row>
    <row r="157" spans="2:87" ht="15.75" customHeight="1">
      <c r="B157" s="2"/>
      <c r="C157" s="10"/>
      <c r="F157" s="39"/>
      <c r="G157" s="39"/>
      <c r="H157" s="39"/>
      <c r="I157" s="39"/>
      <c r="M157" s="39"/>
      <c r="N157" s="39"/>
      <c r="O157" s="39"/>
      <c r="U157" s="39"/>
      <c r="V157" s="39"/>
      <c r="W157" s="39"/>
      <c r="AC157" s="39"/>
      <c r="AD157" s="39"/>
      <c r="AE157" s="39"/>
      <c r="AK157" s="39"/>
      <c r="AL157" s="39"/>
      <c r="AM157" s="39"/>
      <c r="AS157" s="39"/>
      <c r="AT157" s="39"/>
      <c r="AU157" s="39"/>
      <c r="AZ157" s="40"/>
      <c r="BA157" s="39"/>
      <c r="BB157" s="39"/>
      <c r="BC157" s="39"/>
      <c r="BI157" s="39"/>
      <c r="BJ157" s="39"/>
      <c r="BK157" s="39"/>
      <c r="BQ157" s="39"/>
      <c r="BR157" s="39"/>
      <c r="BS157" s="39"/>
      <c r="BY157" s="39"/>
      <c r="BZ157" s="39"/>
      <c r="CA157" s="39"/>
      <c r="CG157" s="39"/>
      <c r="CH157" s="39"/>
      <c r="CI157" s="39"/>
    </row>
    <row r="158" spans="2:87" ht="15.75" customHeight="1">
      <c r="B158" s="2"/>
      <c r="C158" s="10"/>
      <c r="F158" s="39"/>
      <c r="G158" s="39"/>
      <c r="H158" s="39"/>
      <c r="I158" s="39"/>
      <c r="M158" s="39"/>
      <c r="N158" s="39"/>
      <c r="O158" s="39"/>
      <c r="U158" s="39"/>
      <c r="V158" s="39"/>
      <c r="W158" s="39"/>
      <c r="AC158" s="39"/>
      <c r="AD158" s="39"/>
      <c r="AE158" s="39"/>
      <c r="AK158" s="39"/>
      <c r="AL158" s="39"/>
      <c r="AM158" s="39"/>
      <c r="AS158" s="39"/>
      <c r="AT158" s="39"/>
      <c r="AU158" s="39"/>
      <c r="AZ158" s="40"/>
      <c r="BA158" s="39"/>
      <c r="BB158" s="39"/>
      <c r="BC158" s="39"/>
      <c r="BI158" s="39"/>
      <c r="BJ158" s="39"/>
      <c r="BK158" s="39"/>
      <c r="BQ158" s="39"/>
      <c r="BR158" s="39"/>
      <c r="BS158" s="39"/>
      <c r="BY158" s="39"/>
      <c r="BZ158" s="39"/>
      <c r="CA158" s="39"/>
      <c r="CG158" s="39"/>
      <c r="CH158" s="39"/>
      <c r="CI158" s="39"/>
    </row>
    <row r="159" spans="2:87" ht="15.75" customHeight="1">
      <c r="B159" s="2"/>
      <c r="C159" s="10"/>
      <c r="F159" s="39"/>
      <c r="G159" s="39"/>
      <c r="H159" s="39"/>
      <c r="I159" s="39"/>
      <c r="M159" s="39"/>
      <c r="N159" s="39"/>
      <c r="O159" s="39"/>
      <c r="U159" s="39"/>
      <c r="V159" s="39"/>
      <c r="W159" s="39"/>
      <c r="AC159" s="39"/>
      <c r="AD159" s="39"/>
      <c r="AE159" s="39"/>
      <c r="AK159" s="39"/>
      <c r="AL159" s="39"/>
      <c r="AM159" s="39"/>
      <c r="AS159" s="39"/>
      <c r="AT159" s="39"/>
      <c r="AU159" s="39"/>
      <c r="AZ159" s="40"/>
      <c r="BA159" s="39"/>
      <c r="BB159" s="39"/>
      <c r="BC159" s="39"/>
      <c r="BI159" s="39"/>
      <c r="BJ159" s="39"/>
      <c r="BK159" s="39"/>
      <c r="BQ159" s="39"/>
      <c r="BR159" s="39"/>
      <c r="BS159" s="39"/>
      <c r="BY159" s="39"/>
      <c r="BZ159" s="39"/>
      <c r="CA159" s="39"/>
      <c r="CG159" s="39"/>
      <c r="CH159" s="39"/>
      <c r="CI159" s="39"/>
    </row>
    <row r="160" spans="2:87" ht="15.75" customHeight="1">
      <c r="B160" s="2"/>
      <c r="C160" s="10"/>
      <c r="F160" s="39"/>
      <c r="G160" s="39"/>
      <c r="H160" s="39"/>
      <c r="I160" s="39"/>
      <c r="M160" s="39"/>
      <c r="N160" s="39"/>
      <c r="O160" s="39"/>
      <c r="U160" s="39"/>
      <c r="V160" s="39"/>
      <c r="W160" s="39"/>
      <c r="AC160" s="39"/>
      <c r="AD160" s="39"/>
      <c r="AE160" s="39"/>
      <c r="AK160" s="39"/>
      <c r="AL160" s="39"/>
      <c r="AM160" s="39"/>
      <c r="AS160" s="39"/>
      <c r="AT160" s="39"/>
      <c r="AU160" s="39"/>
      <c r="AZ160" s="40"/>
      <c r="BA160" s="39"/>
      <c r="BB160" s="39"/>
      <c r="BC160" s="39"/>
      <c r="BI160" s="39"/>
      <c r="BJ160" s="39"/>
      <c r="BK160" s="39"/>
      <c r="BQ160" s="39"/>
      <c r="BR160" s="39"/>
      <c r="BS160" s="39"/>
      <c r="BY160" s="39"/>
      <c r="BZ160" s="39"/>
      <c r="CA160" s="39"/>
      <c r="CG160" s="39"/>
      <c r="CH160" s="39"/>
      <c r="CI160" s="39"/>
    </row>
    <row r="161" spans="2:87" ht="15.75" customHeight="1">
      <c r="B161" s="2"/>
      <c r="C161" s="10"/>
      <c r="F161" s="39"/>
      <c r="G161" s="39"/>
      <c r="H161" s="39"/>
      <c r="I161" s="39"/>
      <c r="M161" s="39"/>
      <c r="N161" s="39"/>
      <c r="O161" s="39"/>
      <c r="U161" s="39"/>
      <c r="V161" s="39"/>
      <c r="W161" s="39"/>
      <c r="AC161" s="39"/>
      <c r="AD161" s="39"/>
      <c r="AE161" s="39"/>
      <c r="AK161" s="39"/>
      <c r="AL161" s="39"/>
      <c r="AM161" s="39"/>
      <c r="AS161" s="39"/>
      <c r="AT161" s="39"/>
      <c r="AU161" s="39"/>
      <c r="AZ161" s="40"/>
      <c r="BA161" s="39"/>
      <c r="BB161" s="39"/>
      <c r="BC161" s="39"/>
      <c r="BI161" s="39"/>
      <c r="BJ161" s="39"/>
      <c r="BK161" s="39"/>
      <c r="BQ161" s="39"/>
      <c r="BR161" s="39"/>
      <c r="BS161" s="39"/>
      <c r="BY161" s="39"/>
      <c r="BZ161" s="39"/>
      <c r="CA161" s="39"/>
      <c r="CG161" s="39"/>
      <c r="CH161" s="39"/>
      <c r="CI161" s="39"/>
    </row>
    <row r="162" spans="2:87" ht="15.75" customHeight="1">
      <c r="B162" s="2"/>
      <c r="C162" s="10"/>
      <c r="F162" s="39"/>
      <c r="G162" s="39"/>
      <c r="H162" s="39"/>
      <c r="I162" s="39"/>
      <c r="M162" s="39"/>
      <c r="N162" s="39"/>
      <c r="O162" s="39"/>
      <c r="U162" s="39"/>
      <c r="V162" s="39"/>
      <c r="W162" s="39"/>
      <c r="AC162" s="39"/>
      <c r="AD162" s="39"/>
      <c r="AE162" s="39"/>
      <c r="AK162" s="39"/>
      <c r="AL162" s="39"/>
      <c r="AM162" s="39"/>
      <c r="AS162" s="39"/>
      <c r="AT162" s="39"/>
      <c r="AU162" s="39"/>
      <c r="AZ162" s="40"/>
      <c r="BA162" s="39"/>
      <c r="BB162" s="39"/>
      <c r="BC162" s="39"/>
      <c r="BI162" s="39"/>
      <c r="BJ162" s="39"/>
      <c r="BK162" s="39"/>
      <c r="BQ162" s="39"/>
      <c r="BR162" s="39"/>
      <c r="BS162" s="39"/>
      <c r="BY162" s="39"/>
      <c r="BZ162" s="39"/>
      <c r="CA162" s="39"/>
      <c r="CG162" s="39"/>
      <c r="CH162" s="39"/>
      <c r="CI162" s="39"/>
    </row>
    <row r="163" spans="2:87" ht="15.75" customHeight="1">
      <c r="B163" s="2"/>
      <c r="C163" s="10"/>
      <c r="F163" s="39"/>
      <c r="G163" s="39"/>
      <c r="H163" s="39"/>
      <c r="I163" s="39"/>
      <c r="M163" s="39"/>
      <c r="N163" s="39"/>
      <c r="O163" s="39"/>
      <c r="U163" s="39"/>
      <c r="V163" s="39"/>
      <c r="W163" s="39"/>
      <c r="AC163" s="39"/>
      <c r="AD163" s="39"/>
      <c r="AE163" s="39"/>
      <c r="AK163" s="39"/>
      <c r="AL163" s="39"/>
      <c r="AM163" s="39"/>
      <c r="AS163" s="39"/>
      <c r="AT163" s="39"/>
      <c r="AU163" s="39"/>
      <c r="AZ163" s="40"/>
      <c r="BA163" s="39"/>
      <c r="BB163" s="39"/>
      <c r="BC163" s="39"/>
      <c r="BI163" s="39"/>
      <c r="BJ163" s="39"/>
      <c r="BK163" s="39"/>
      <c r="BQ163" s="39"/>
      <c r="BR163" s="39"/>
      <c r="BS163" s="39"/>
      <c r="BY163" s="39"/>
      <c r="BZ163" s="39"/>
      <c r="CA163" s="39"/>
      <c r="CG163" s="39"/>
      <c r="CH163" s="39"/>
      <c r="CI163" s="39"/>
    </row>
    <row r="164" spans="2:87" ht="15.75" customHeight="1">
      <c r="B164" s="2"/>
      <c r="C164" s="10"/>
      <c r="F164" s="39"/>
      <c r="G164" s="39"/>
      <c r="H164" s="39"/>
      <c r="I164" s="39"/>
      <c r="M164" s="39"/>
      <c r="N164" s="39"/>
      <c r="O164" s="39"/>
      <c r="U164" s="39"/>
      <c r="V164" s="39"/>
      <c r="W164" s="39"/>
      <c r="AC164" s="39"/>
      <c r="AD164" s="39"/>
      <c r="AE164" s="39"/>
      <c r="AK164" s="39"/>
      <c r="AL164" s="39"/>
      <c r="AM164" s="39"/>
      <c r="AS164" s="39"/>
      <c r="AT164" s="39"/>
      <c r="AU164" s="39"/>
      <c r="AZ164" s="40"/>
      <c r="BA164" s="39"/>
      <c r="BB164" s="39"/>
      <c r="BC164" s="39"/>
      <c r="BI164" s="39"/>
      <c r="BJ164" s="39"/>
      <c r="BK164" s="39"/>
      <c r="BQ164" s="39"/>
      <c r="BR164" s="39"/>
      <c r="BS164" s="39"/>
      <c r="BY164" s="39"/>
      <c r="BZ164" s="39"/>
      <c r="CA164" s="39"/>
      <c r="CG164" s="39"/>
      <c r="CH164" s="39"/>
      <c r="CI164" s="39"/>
    </row>
    <row r="165" spans="2:87" ht="15.75" customHeight="1">
      <c r="B165" s="2"/>
      <c r="C165" s="10"/>
      <c r="F165" s="39"/>
      <c r="G165" s="39"/>
      <c r="H165" s="39"/>
      <c r="I165" s="39"/>
      <c r="M165" s="39"/>
      <c r="N165" s="39"/>
      <c r="O165" s="39"/>
      <c r="U165" s="39"/>
      <c r="V165" s="39"/>
      <c r="W165" s="39"/>
      <c r="AC165" s="39"/>
      <c r="AD165" s="39"/>
      <c r="AE165" s="39"/>
      <c r="AK165" s="39"/>
      <c r="AL165" s="39"/>
      <c r="AM165" s="39"/>
      <c r="AS165" s="39"/>
      <c r="AT165" s="39"/>
      <c r="AU165" s="39"/>
      <c r="AZ165" s="40"/>
      <c r="BA165" s="39"/>
      <c r="BB165" s="39"/>
      <c r="BC165" s="39"/>
      <c r="BI165" s="39"/>
      <c r="BJ165" s="39"/>
      <c r="BK165" s="39"/>
      <c r="BQ165" s="39"/>
      <c r="BR165" s="39"/>
      <c r="BS165" s="39"/>
      <c r="BY165" s="39"/>
      <c r="BZ165" s="39"/>
      <c r="CA165" s="39"/>
      <c r="CG165" s="39"/>
      <c r="CH165" s="39"/>
      <c r="CI165" s="39"/>
    </row>
    <row r="166" spans="2:87" ht="15.75" customHeight="1">
      <c r="B166" s="2"/>
      <c r="C166" s="10"/>
      <c r="F166" s="39"/>
      <c r="G166" s="39"/>
      <c r="H166" s="39"/>
      <c r="I166" s="39"/>
      <c r="M166" s="39"/>
      <c r="N166" s="39"/>
      <c r="O166" s="39"/>
      <c r="U166" s="39"/>
      <c r="V166" s="39"/>
      <c r="W166" s="39"/>
      <c r="AC166" s="39"/>
      <c r="AD166" s="39"/>
      <c r="AE166" s="39"/>
      <c r="AK166" s="39"/>
      <c r="AL166" s="39"/>
      <c r="AM166" s="39"/>
      <c r="AS166" s="39"/>
      <c r="AT166" s="39"/>
      <c r="AU166" s="39"/>
      <c r="AZ166" s="40"/>
      <c r="BA166" s="39"/>
      <c r="BB166" s="39"/>
      <c r="BC166" s="39"/>
      <c r="BI166" s="39"/>
      <c r="BJ166" s="39"/>
      <c r="BK166" s="39"/>
      <c r="BQ166" s="39"/>
      <c r="BR166" s="39"/>
      <c r="BS166" s="39"/>
      <c r="BY166" s="39"/>
      <c r="BZ166" s="39"/>
      <c r="CA166" s="39"/>
      <c r="CG166" s="39"/>
      <c r="CH166" s="39"/>
      <c r="CI166" s="39"/>
    </row>
    <row r="167" spans="2:87" ht="15.75" customHeight="1">
      <c r="B167" s="2"/>
      <c r="C167" s="10"/>
      <c r="F167" s="39"/>
      <c r="G167" s="39"/>
      <c r="H167" s="39"/>
      <c r="I167" s="39"/>
      <c r="M167" s="39"/>
      <c r="N167" s="39"/>
      <c r="O167" s="39"/>
      <c r="U167" s="39"/>
      <c r="V167" s="39"/>
      <c r="W167" s="39"/>
      <c r="AC167" s="39"/>
      <c r="AD167" s="39"/>
      <c r="AE167" s="39"/>
      <c r="AK167" s="39"/>
      <c r="AL167" s="39"/>
      <c r="AM167" s="39"/>
      <c r="AS167" s="39"/>
      <c r="AT167" s="39"/>
      <c r="AU167" s="39"/>
      <c r="AZ167" s="40"/>
      <c r="BA167" s="39"/>
      <c r="BB167" s="39"/>
      <c r="BC167" s="39"/>
      <c r="BI167" s="39"/>
      <c r="BJ167" s="39"/>
      <c r="BK167" s="39"/>
      <c r="BQ167" s="39"/>
      <c r="BR167" s="39"/>
      <c r="BS167" s="39"/>
      <c r="BY167" s="39"/>
      <c r="BZ167" s="39"/>
      <c r="CA167" s="39"/>
      <c r="CG167" s="39"/>
      <c r="CH167" s="39"/>
      <c r="CI167" s="39"/>
    </row>
    <row r="168" spans="2:87" ht="15.75" customHeight="1">
      <c r="B168" s="2"/>
      <c r="C168" s="10"/>
      <c r="F168" s="39"/>
      <c r="G168" s="39"/>
      <c r="H168" s="39"/>
      <c r="I168" s="39"/>
      <c r="M168" s="39"/>
      <c r="N168" s="39"/>
      <c r="O168" s="39"/>
      <c r="U168" s="39"/>
      <c r="V168" s="39"/>
      <c r="W168" s="39"/>
      <c r="AC168" s="39"/>
      <c r="AD168" s="39"/>
      <c r="AE168" s="39"/>
      <c r="AK168" s="39"/>
      <c r="AL168" s="39"/>
      <c r="AM168" s="39"/>
      <c r="AS168" s="39"/>
      <c r="AT168" s="39"/>
      <c r="AU168" s="39"/>
      <c r="AZ168" s="40"/>
      <c r="BA168" s="39"/>
      <c r="BB168" s="39"/>
      <c r="BC168" s="39"/>
      <c r="BI168" s="39"/>
      <c r="BJ168" s="39"/>
      <c r="BK168" s="39"/>
      <c r="BQ168" s="39"/>
      <c r="BR168" s="39"/>
      <c r="BS168" s="39"/>
      <c r="BY168" s="39"/>
      <c r="BZ168" s="39"/>
      <c r="CA168" s="39"/>
      <c r="CG168" s="39"/>
      <c r="CH168" s="39"/>
      <c r="CI168" s="39"/>
    </row>
    <row r="169" spans="2:87" ht="15.75" customHeight="1">
      <c r="B169" s="2"/>
      <c r="C169" s="10"/>
      <c r="F169" s="39"/>
      <c r="G169" s="39"/>
      <c r="H169" s="39"/>
      <c r="I169" s="39"/>
      <c r="M169" s="39"/>
      <c r="N169" s="39"/>
      <c r="O169" s="39"/>
      <c r="U169" s="39"/>
      <c r="V169" s="39"/>
      <c r="W169" s="39"/>
      <c r="AC169" s="39"/>
      <c r="AD169" s="39"/>
      <c r="AE169" s="39"/>
      <c r="AK169" s="39"/>
      <c r="AL169" s="39"/>
      <c r="AM169" s="39"/>
      <c r="AS169" s="39"/>
      <c r="AT169" s="39"/>
      <c r="AU169" s="39"/>
      <c r="AZ169" s="40"/>
      <c r="BA169" s="39"/>
      <c r="BB169" s="39"/>
      <c r="BC169" s="39"/>
      <c r="BI169" s="39"/>
      <c r="BJ169" s="39"/>
      <c r="BK169" s="39"/>
      <c r="BQ169" s="39"/>
      <c r="BR169" s="39"/>
      <c r="BS169" s="39"/>
      <c r="BY169" s="39"/>
      <c r="BZ169" s="39"/>
      <c r="CA169" s="39"/>
      <c r="CG169" s="39"/>
      <c r="CH169" s="39"/>
      <c r="CI169" s="39"/>
    </row>
    <row r="170" spans="2:87" ht="15.75" customHeight="1">
      <c r="B170" s="2"/>
      <c r="C170" s="10"/>
      <c r="F170" s="39"/>
      <c r="G170" s="39"/>
      <c r="H170" s="39"/>
      <c r="I170" s="39"/>
      <c r="M170" s="39"/>
      <c r="N170" s="39"/>
      <c r="O170" s="39"/>
      <c r="U170" s="39"/>
      <c r="V170" s="39"/>
      <c r="W170" s="39"/>
      <c r="AC170" s="39"/>
      <c r="AD170" s="39"/>
      <c r="AE170" s="39"/>
      <c r="AK170" s="39"/>
      <c r="AL170" s="39"/>
      <c r="AM170" s="39"/>
      <c r="AS170" s="39"/>
      <c r="AT170" s="39"/>
      <c r="AU170" s="39"/>
      <c r="AZ170" s="40"/>
      <c r="BA170" s="39"/>
      <c r="BB170" s="39"/>
      <c r="BC170" s="39"/>
      <c r="BI170" s="39"/>
      <c r="BJ170" s="39"/>
      <c r="BK170" s="39"/>
      <c r="BQ170" s="39"/>
      <c r="BR170" s="39"/>
      <c r="BS170" s="39"/>
      <c r="BY170" s="39"/>
      <c r="BZ170" s="39"/>
      <c r="CA170" s="39"/>
      <c r="CG170" s="39"/>
      <c r="CH170" s="39"/>
      <c r="CI170" s="39"/>
    </row>
    <row r="171" spans="2:87" ht="15.75" customHeight="1">
      <c r="B171" s="2"/>
      <c r="C171" s="10"/>
      <c r="F171" s="39"/>
      <c r="G171" s="39"/>
      <c r="H171" s="39"/>
      <c r="I171" s="39"/>
      <c r="M171" s="39"/>
      <c r="N171" s="39"/>
      <c r="O171" s="39"/>
      <c r="U171" s="39"/>
      <c r="V171" s="39"/>
      <c r="W171" s="39"/>
      <c r="AC171" s="39"/>
      <c r="AD171" s="39"/>
      <c r="AE171" s="39"/>
      <c r="AK171" s="39"/>
      <c r="AL171" s="39"/>
      <c r="AM171" s="39"/>
      <c r="AS171" s="39"/>
      <c r="AT171" s="39"/>
      <c r="AU171" s="39"/>
      <c r="AZ171" s="40"/>
      <c r="BA171" s="39"/>
      <c r="BB171" s="39"/>
      <c r="BC171" s="39"/>
      <c r="BI171" s="39"/>
      <c r="BJ171" s="39"/>
      <c r="BK171" s="39"/>
      <c r="BQ171" s="39"/>
      <c r="BR171" s="39"/>
      <c r="BS171" s="39"/>
      <c r="BY171" s="39"/>
      <c r="BZ171" s="39"/>
      <c r="CA171" s="39"/>
      <c r="CG171" s="39"/>
      <c r="CH171" s="39"/>
      <c r="CI171" s="39"/>
    </row>
    <row r="172" spans="2:87" ht="15.75" customHeight="1">
      <c r="B172" s="2"/>
      <c r="C172" s="10"/>
      <c r="F172" s="39"/>
      <c r="G172" s="39"/>
      <c r="H172" s="39"/>
      <c r="I172" s="39"/>
      <c r="M172" s="39"/>
      <c r="N172" s="39"/>
      <c r="O172" s="39"/>
      <c r="U172" s="39"/>
      <c r="V172" s="39"/>
      <c r="W172" s="39"/>
      <c r="AC172" s="39"/>
      <c r="AD172" s="39"/>
      <c r="AE172" s="39"/>
      <c r="AK172" s="39"/>
      <c r="AL172" s="39"/>
      <c r="AM172" s="39"/>
      <c r="AS172" s="39"/>
      <c r="AT172" s="39"/>
      <c r="AU172" s="39"/>
      <c r="AZ172" s="40"/>
      <c r="BA172" s="39"/>
      <c r="BB172" s="39"/>
      <c r="BC172" s="39"/>
      <c r="BI172" s="39"/>
      <c r="BJ172" s="39"/>
      <c r="BK172" s="39"/>
      <c r="BQ172" s="39"/>
      <c r="BR172" s="39"/>
      <c r="BS172" s="39"/>
      <c r="BY172" s="39"/>
      <c r="BZ172" s="39"/>
      <c r="CA172" s="39"/>
      <c r="CG172" s="39"/>
      <c r="CH172" s="39"/>
      <c r="CI172" s="39"/>
    </row>
    <row r="173" spans="2:87" ht="15.75" customHeight="1">
      <c r="B173" s="2"/>
      <c r="C173" s="10"/>
      <c r="F173" s="39"/>
      <c r="G173" s="39"/>
      <c r="H173" s="39"/>
      <c r="I173" s="39"/>
      <c r="M173" s="39"/>
      <c r="N173" s="39"/>
      <c r="O173" s="39"/>
      <c r="U173" s="39"/>
      <c r="V173" s="39"/>
      <c r="W173" s="39"/>
      <c r="AC173" s="39"/>
      <c r="AD173" s="39"/>
      <c r="AE173" s="39"/>
      <c r="AK173" s="39"/>
      <c r="AL173" s="39"/>
      <c r="AM173" s="39"/>
      <c r="AS173" s="39"/>
      <c r="AT173" s="39"/>
      <c r="AU173" s="39"/>
      <c r="AZ173" s="40"/>
      <c r="BA173" s="39"/>
      <c r="BB173" s="39"/>
      <c r="BC173" s="39"/>
      <c r="BI173" s="39"/>
      <c r="BJ173" s="39"/>
      <c r="BK173" s="39"/>
      <c r="BQ173" s="39"/>
      <c r="BR173" s="39"/>
      <c r="BS173" s="39"/>
      <c r="BY173" s="39"/>
      <c r="BZ173" s="39"/>
      <c r="CA173" s="39"/>
      <c r="CG173" s="39"/>
      <c r="CH173" s="39"/>
      <c r="CI173" s="39"/>
    </row>
    <row r="174" spans="2:87" ht="15.75" customHeight="1">
      <c r="B174" s="2"/>
      <c r="C174" s="10"/>
      <c r="F174" s="39"/>
      <c r="G174" s="39"/>
      <c r="H174" s="39"/>
      <c r="I174" s="39"/>
      <c r="M174" s="39"/>
      <c r="N174" s="39"/>
      <c r="O174" s="39"/>
      <c r="U174" s="39"/>
      <c r="V174" s="39"/>
      <c r="W174" s="39"/>
      <c r="AC174" s="39"/>
      <c r="AD174" s="39"/>
      <c r="AE174" s="39"/>
      <c r="AK174" s="39"/>
      <c r="AL174" s="39"/>
      <c r="AM174" s="39"/>
      <c r="AS174" s="39"/>
      <c r="AT174" s="39"/>
      <c r="AU174" s="39"/>
      <c r="AZ174" s="40"/>
      <c r="BA174" s="39"/>
      <c r="BB174" s="39"/>
      <c r="BC174" s="39"/>
      <c r="BI174" s="39"/>
      <c r="BJ174" s="39"/>
      <c r="BK174" s="39"/>
      <c r="BQ174" s="39"/>
      <c r="BR174" s="39"/>
      <c r="BS174" s="39"/>
      <c r="BY174" s="39"/>
      <c r="BZ174" s="39"/>
      <c r="CA174" s="39"/>
      <c r="CG174" s="39"/>
      <c r="CH174" s="39"/>
      <c r="CI174" s="39"/>
    </row>
    <row r="175" spans="2:87" ht="15.75" customHeight="1">
      <c r="B175" s="2"/>
      <c r="C175" s="10"/>
      <c r="F175" s="39"/>
      <c r="G175" s="39"/>
      <c r="H175" s="39"/>
      <c r="I175" s="39"/>
      <c r="M175" s="39"/>
      <c r="N175" s="39"/>
      <c r="O175" s="39"/>
      <c r="U175" s="39"/>
      <c r="V175" s="39"/>
      <c r="W175" s="39"/>
      <c r="AC175" s="39"/>
      <c r="AD175" s="39"/>
      <c r="AE175" s="39"/>
      <c r="AK175" s="39"/>
      <c r="AL175" s="39"/>
      <c r="AM175" s="39"/>
      <c r="AS175" s="39"/>
      <c r="AT175" s="39"/>
      <c r="AU175" s="39"/>
      <c r="AZ175" s="40"/>
      <c r="BA175" s="39"/>
      <c r="BB175" s="39"/>
      <c r="BC175" s="39"/>
      <c r="BI175" s="39"/>
      <c r="BJ175" s="39"/>
      <c r="BK175" s="39"/>
      <c r="BQ175" s="39"/>
      <c r="BR175" s="39"/>
      <c r="BS175" s="39"/>
      <c r="BY175" s="39"/>
      <c r="BZ175" s="39"/>
      <c r="CA175" s="39"/>
      <c r="CG175" s="39"/>
      <c r="CH175" s="39"/>
      <c r="CI175" s="39"/>
    </row>
    <row r="176" spans="2:87" ht="15.75" customHeight="1">
      <c r="B176" s="2"/>
      <c r="C176" s="10"/>
      <c r="F176" s="39"/>
      <c r="G176" s="39"/>
      <c r="H176" s="39"/>
      <c r="I176" s="39"/>
      <c r="M176" s="39"/>
      <c r="N176" s="39"/>
      <c r="O176" s="39"/>
      <c r="U176" s="39"/>
      <c r="V176" s="39"/>
      <c r="W176" s="39"/>
      <c r="AC176" s="39"/>
      <c r="AD176" s="39"/>
      <c r="AE176" s="39"/>
      <c r="AK176" s="39"/>
      <c r="AL176" s="39"/>
      <c r="AM176" s="39"/>
      <c r="AS176" s="39"/>
      <c r="AT176" s="39"/>
      <c r="AU176" s="39"/>
      <c r="AZ176" s="40"/>
      <c r="BA176" s="39"/>
      <c r="BB176" s="39"/>
      <c r="BC176" s="39"/>
      <c r="BI176" s="39"/>
      <c r="BJ176" s="39"/>
      <c r="BK176" s="39"/>
      <c r="BQ176" s="39"/>
      <c r="BR176" s="39"/>
      <c r="BS176" s="39"/>
      <c r="BY176" s="39"/>
      <c r="BZ176" s="39"/>
      <c r="CA176" s="39"/>
      <c r="CG176" s="39"/>
      <c r="CH176" s="39"/>
      <c r="CI176" s="39"/>
    </row>
    <row r="177" spans="2:87" ht="15.75" customHeight="1">
      <c r="B177" s="2"/>
      <c r="C177" s="10"/>
      <c r="F177" s="39"/>
      <c r="G177" s="39"/>
      <c r="H177" s="39"/>
      <c r="I177" s="39"/>
      <c r="M177" s="39"/>
      <c r="N177" s="39"/>
      <c r="O177" s="39"/>
      <c r="U177" s="39"/>
      <c r="V177" s="39"/>
      <c r="W177" s="39"/>
      <c r="AC177" s="39"/>
      <c r="AD177" s="39"/>
      <c r="AE177" s="39"/>
      <c r="AK177" s="39"/>
      <c r="AL177" s="39"/>
      <c r="AM177" s="39"/>
      <c r="AS177" s="39"/>
      <c r="AT177" s="39"/>
      <c r="AU177" s="39"/>
      <c r="AZ177" s="40"/>
      <c r="BA177" s="39"/>
      <c r="BB177" s="39"/>
      <c r="BC177" s="39"/>
      <c r="BI177" s="39"/>
      <c r="BJ177" s="39"/>
      <c r="BK177" s="39"/>
      <c r="BQ177" s="39"/>
      <c r="BR177" s="39"/>
      <c r="BS177" s="39"/>
      <c r="BY177" s="39"/>
      <c r="BZ177" s="39"/>
      <c r="CA177" s="39"/>
      <c r="CG177" s="39"/>
      <c r="CH177" s="39"/>
      <c r="CI177" s="39"/>
    </row>
    <row r="178" spans="2:87" ht="15.75" customHeight="1">
      <c r="B178" s="2"/>
      <c r="C178" s="10"/>
      <c r="F178" s="39"/>
      <c r="G178" s="39"/>
      <c r="H178" s="39"/>
      <c r="I178" s="39"/>
      <c r="M178" s="39"/>
      <c r="N178" s="39"/>
      <c r="O178" s="39"/>
      <c r="U178" s="39"/>
      <c r="V178" s="39"/>
      <c r="W178" s="39"/>
      <c r="AC178" s="39"/>
      <c r="AD178" s="39"/>
      <c r="AE178" s="39"/>
      <c r="AK178" s="39"/>
      <c r="AL178" s="39"/>
      <c r="AM178" s="39"/>
      <c r="AS178" s="39"/>
      <c r="AT178" s="39"/>
      <c r="AU178" s="39"/>
      <c r="AZ178" s="40"/>
      <c r="BA178" s="39"/>
      <c r="BB178" s="39"/>
      <c r="BC178" s="39"/>
      <c r="BI178" s="39"/>
      <c r="BJ178" s="39"/>
      <c r="BK178" s="39"/>
      <c r="BQ178" s="39"/>
      <c r="BR178" s="39"/>
      <c r="BS178" s="39"/>
      <c r="BY178" s="39"/>
      <c r="BZ178" s="39"/>
      <c r="CA178" s="39"/>
      <c r="CG178" s="39"/>
      <c r="CH178" s="39"/>
      <c r="CI178" s="39"/>
    </row>
    <row r="179" spans="2:87" ht="15.75" customHeight="1">
      <c r="B179" s="2"/>
      <c r="C179" s="10"/>
      <c r="F179" s="39"/>
      <c r="G179" s="39"/>
      <c r="H179" s="39"/>
      <c r="I179" s="39"/>
      <c r="M179" s="39"/>
      <c r="N179" s="39"/>
      <c r="O179" s="39"/>
      <c r="U179" s="39"/>
      <c r="V179" s="39"/>
      <c r="W179" s="39"/>
      <c r="AC179" s="39"/>
      <c r="AD179" s="39"/>
      <c r="AE179" s="39"/>
      <c r="AK179" s="39"/>
      <c r="AL179" s="39"/>
      <c r="AM179" s="39"/>
      <c r="AS179" s="39"/>
      <c r="AT179" s="39"/>
      <c r="AU179" s="39"/>
      <c r="AZ179" s="40"/>
      <c r="BA179" s="39"/>
      <c r="BB179" s="39"/>
      <c r="BC179" s="39"/>
      <c r="BI179" s="39"/>
      <c r="BJ179" s="39"/>
      <c r="BK179" s="39"/>
      <c r="BQ179" s="39"/>
      <c r="BR179" s="39"/>
      <c r="BS179" s="39"/>
      <c r="BY179" s="39"/>
      <c r="BZ179" s="39"/>
      <c r="CA179" s="39"/>
      <c r="CG179" s="39"/>
      <c r="CH179" s="39"/>
      <c r="CI179" s="39"/>
    </row>
    <row r="180" spans="2:87" ht="15.75" customHeight="1">
      <c r="B180" s="2"/>
      <c r="C180" s="10"/>
      <c r="F180" s="39"/>
      <c r="G180" s="39"/>
      <c r="H180" s="39"/>
      <c r="I180" s="39"/>
      <c r="M180" s="39"/>
      <c r="N180" s="39"/>
      <c r="O180" s="39"/>
      <c r="U180" s="39"/>
      <c r="V180" s="39"/>
      <c r="W180" s="39"/>
      <c r="AC180" s="39"/>
      <c r="AD180" s="39"/>
      <c r="AE180" s="39"/>
      <c r="AK180" s="39"/>
      <c r="AL180" s="39"/>
      <c r="AM180" s="39"/>
      <c r="AS180" s="39"/>
      <c r="AT180" s="39"/>
      <c r="AU180" s="39"/>
      <c r="AZ180" s="40"/>
      <c r="BA180" s="39"/>
      <c r="BB180" s="39"/>
      <c r="BC180" s="39"/>
      <c r="BI180" s="39"/>
      <c r="BJ180" s="39"/>
      <c r="BK180" s="39"/>
      <c r="BQ180" s="39"/>
      <c r="BR180" s="39"/>
      <c r="BS180" s="39"/>
      <c r="BY180" s="39"/>
      <c r="BZ180" s="39"/>
      <c r="CA180" s="39"/>
      <c r="CG180" s="39"/>
      <c r="CH180" s="39"/>
      <c r="CI180" s="39"/>
    </row>
    <row r="181" spans="2:87" ht="15.75" customHeight="1">
      <c r="B181" s="2"/>
      <c r="C181" s="10"/>
      <c r="F181" s="39"/>
      <c r="G181" s="39"/>
      <c r="H181" s="39"/>
      <c r="I181" s="39"/>
      <c r="M181" s="39"/>
      <c r="N181" s="39"/>
      <c r="O181" s="39"/>
      <c r="U181" s="39"/>
      <c r="V181" s="39"/>
      <c r="W181" s="39"/>
      <c r="AC181" s="39"/>
      <c r="AD181" s="39"/>
      <c r="AE181" s="39"/>
      <c r="AK181" s="39"/>
      <c r="AL181" s="39"/>
      <c r="AM181" s="39"/>
      <c r="AS181" s="39"/>
      <c r="AT181" s="39"/>
      <c r="AU181" s="39"/>
      <c r="AZ181" s="40"/>
      <c r="BA181" s="39"/>
      <c r="BB181" s="39"/>
      <c r="BC181" s="39"/>
      <c r="BI181" s="39"/>
      <c r="BJ181" s="39"/>
      <c r="BK181" s="39"/>
      <c r="BQ181" s="39"/>
      <c r="BR181" s="39"/>
      <c r="BS181" s="39"/>
      <c r="BY181" s="39"/>
      <c r="BZ181" s="39"/>
      <c r="CA181" s="39"/>
      <c r="CG181" s="39"/>
      <c r="CH181" s="39"/>
      <c r="CI181" s="39"/>
    </row>
    <row r="182" spans="2:87" ht="15.75" customHeight="1">
      <c r="B182" s="2"/>
      <c r="C182" s="10"/>
      <c r="F182" s="39"/>
      <c r="G182" s="39"/>
      <c r="H182" s="39"/>
      <c r="I182" s="39"/>
      <c r="M182" s="39"/>
      <c r="N182" s="39"/>
      <c r="O182" s="39"/>
      <c r="U182" s="39"/>
      <c r="V182" s="39"/>
      <c r="W182" s="39"/>
      <c r="AC182" s="39"/>
      <c r="AD182" s="39"/>
      <c r="AE182" s="39"/>
      <c r="AK182" s="39"/>
      <c r="AL182" s="39"/>
      <c r="AM182" s="39"/>
      <c r="AS182" s="39"/>
      <c r="AT182" s="39"/>
      <c r="AU182" s="39"/>
      <c r="AZ182" s="40"/>
      <c r="BA182" s="39"/>
      <c r="BB182" s="39"/>
      <c r="BC182" s="39"/>
      <c r="BI182" s="39"/>
      <c r="BJ182" s="39"/>
      <c r="BK182" s="39"/>
      <c r="BQ182" s="39"/>
      <c r="BR182" s="39"/>
      <c r="BS182" s="39"/>
      <c r="BY182" s="39"/>
      <c r="BZ182" s="39"/>
      <c r="CA182" s="39"/>
      <c r="CG182" s="39"/>
      <c r="CH182" s="39"/>
      <c r="CI182" s="39"/>
    </row>
    <row r="183" spans="2:87" ht="15.75" customHeight="1">
      <c r="B183" s="2"/>
      <c r="C183" s="10"/>
      <c r="F183" s="39"/>
      <c r="G183" s="39"/>
      <c r="H183" s="39"/>
      <c r="I183" s="39"/>
      <c r="M183" s="39"/>
      <c r="N183" s="39"/>
      <c r="O183" s="39"/>
      <c r="U183" s="39"/>
      <c r="V183" s="39"/>
      <c r="W183" s="39"/>
      <c r="AC183" s="39"/>
      <c r="AD183" s="39"/>
      <c r="AE183" s="39"/>
      <c r="AK183" s="39"/>
      <c r="AL183" s="39"/>
      <c r="AM183" s="39"/>
      <c r="AS183" s="39"/>
      <c r="AT183" s="39"/>
      <c r="AU183" s="39"/>
      <c r="AZ183" s="40"/>
      <c r="BA183" s="39"/>
      <c r="BB183" s="39"/>
      <c r="BC183" s="39"/>
      <c r="BI183" s="39"/>
      <c r="BJ183" s="39"/>
      <c r="BK183" s="39"/>
      <c r="BQ183" s="39"/>
      <c r="BR183" s="39"/>
      <c r="BS183" s="39"/>
      <c r="BY183" s="39"/>
      <c r="BZ183" s="39"/>
      <c r="CA183" s="39"/>
      <c r="CG183" s="39"/>
      <c r="CH183" s="39"/>
      <c r="CI183" s="39"/>
    </row>
    <row r="184" spans="2:87" ht="15.75" customHeight="1">
      <c r="B184" s="2"/>
      <c r="C184" s="10"/>
      <c r="F184" s="39"/>
      <c r="G184" s="39"/>
      <c r="H184" s="39"/>
      <c r="I184" s="39"/>
      <c r="M184" s="39"/>
      <c r="N184" s="39"/>
      <c r="O184" s="39"/>
      <c r="U184" s="39"/>
      <c r="V184" s="39"/>
      <c r="W184" s="39"/>
      <c r="AC184" s="39"/>
      <c r="AD184" s="39"/>
      <c r="AE184" s="39"/>
      <c r="AK184" s="39"/>
      <c r="AL184" s="39"/>
      <c r="AM184" s="39"/>
      <c r="AS184" s="39"/>
      <c r="AT184" s="39"/>
      <c r="AU184" s="39"/>
      <c r="AZ184" s="40"/>
      <c r="BA184" s="39"/>
      <c r="BB184" s="39"/>
      <c r="BC184" s="39"/>
      <c r="BI184" s="39"/>
      <c r="BJ184" s="39"/>
      <c r="BK184" s="39"/>
      <c r="BQ184" s="39"/>
      <c r="BR184" s="39"/>
      <c r="BS184" s="39"/>
      <c r="BY184" s="39"/>
      <c r="BZ184" s="39"/>
      <c r="CA184" s="39"/>
      <c r="CG184" s="39"/>
      <c r="CH184" s="39"/>
      <c r="CI184" s="39"/>
    </row>
    <row r="185" spans="2:87" ht="15.75" customHeight="1">
      <c r="B185" s="2"/>
      <c r="C185" s="10"/>
      <c r="F185" s="39"/>
      <c r="G185" s="39"/>
      <c r="H185" s="39"/>
      <c r="I185" s="39"/>
      <c r="M185" s="39"/>
      <c r="N185" s="39"/>
      <c r="O185" s="39"/>
      <c r="U185" s="39"/>
      <c r="V185" s="39"/>
      <c r="W185" s="39"/>
      <c r="AC185" s="39"/>
      <c r="AD185" s="39"/>
      <c r="AE185" s="39"/>
      <c r="AK185" s="39"/>
      <c r="AL185" s="39"/>
      <c r="AM185" s="39"/>
      <c r="AS185" s="39"/>
      <c r="AT185" s="39"/>
      <c r="AU185" s="39"/>
      <c r="AZ185" s="40"/>
      <c r="BA185" s="39"/>
      <c r="BB185" s="39"/>
      <c r="BC185" s="39"/>
      <c r="BI185" s="39"/>
      <c r="BJ185" s="39"/>
      <c r="BK185" s="39"/>
      <c r="BQ185" s="39"/>
      <c r="BR185" s="39"/>
      <c r="BS185" s="39"/>
      <c r="BY185" s="39"/>
      <c r="BZ185" s="39"/>
      <c r="CA185" s="39"/>
      <c r="CG185" s="39"/>
      <c r="CH185" s="39"/>
      <c r="CI185" s="39"/>
    </row>
    <row r="186" spans="2:87" ht="15.75" customHeight="1">
      <c r="B186" s="2"/>
      <c r="C186" s="10"/>
      <c r="F186" s="39"/>
      <c r="G186" s="39"/>
      <c r="H186" s="39"/>
      <c r="I186" s="39"/>
      <c r="M186" s="39"/>
      <c r="N186" s="39"/>
      <c r="O186" s="39"/>
      <c r="U186" s="39"/>
      <c r="V186" s="39"/>
      <c r="W186" s="39"/>
      <c r="AC186" s="39"/>
      <c r="AD186" s="39"/>
      <c r="AE186" s="39"/>
      <c r="AK186" s="39"/>
      <c r="AL186" s="39"/>
      <c r="AM186" s="39"/>
      <c r="AS186" s="39"/>
      <c r="AT186" s="39"/>
      <c r="AU186" s="39"/>
      <c r="AZ186" s="40"/>
      <c r="BA186" s="39"/>
      <c r="BB186" s="39"/>
      <c r="BC186" s="39"/>
      <c r="BI186" s="39"/>
      <c r="BJ186" s="39"/>
      <c r="BK186" s="39"/>
      <c r="BQ186" s="39"/>
      <c r="BR186" s="39"/>
      <c r="BS186" s="39"/>
      <c r="BY186" s="39"/>
      <c r="BZ186" s="39"/>
      <c r="CA186" s="39"/>
      <c r="CG186" s="39"/>
      <c r="CH186" s="39"/>
      <c r="CI186" s="39"/>
    </row>
    <row r="187" spans="2:87" ht="15.75" customHeight="1">
      <c r="B187" s="2"/>
      <c r="C187" s="10"/>
      <c r="F187" s="39"/>
      <c r="G187" s="39"/>
      <c r="H187" s="39"/>
      <c r="I187" s="39"/>
      <c r="M187" s="39"/>
      <c r="N187" s="39"/>
      <c r="O187" s="39"/>
      <c r="U187" s="39"/>
      <c r="V187" s="39"/>
      <c r="W187" s="39"/>
      <c r="AC187" s="39"/>
      <c r="AD187" s="39"/>
      <c r="AE187" s="39"/>
      <c r="AK187" s="39"/>
      <c r="AL187" s="39"/>
      <c r="AM187" s="39"/>
      <c r="AS187" s="39"/>
      <c r="AT187" s="39"/>
      <c r="AU187" s="39"/>
      <c r="AZ187" s="40"/>
      <c r="BA187" s="39"/>
      <c r="BB187" s="39"/>
      <c r="BC187" s="39"/>
      <c r="BI187" s="39"/>
      <c r="BJ187" s="39"/>
      <c r="BK187" s="39"/>
      <c r="BQ187" s="39"/>
      <c r="BR187" s="39"/>
      <c r="BS187" s="39"/>
      <c r="BY187" s="39"/>
      <c r="BZ187" s="39"/>
      <c r="CA187" s="39"/>
      <c r="CG187" s="39"/>
      <c r="CH187" s="39"/>
      <c r="CI187" s="39"/>
    </row>
    <row r="188" spans="2:87" ht="15.75" customHeight="1">
      <c r="B188" s="2"/>
      <c r="C188" s="10"/>
      <c r="F188" s="39"/>
      <c r="G188" s="39"/>
      <c r="H188" s="39"/>
      <c r="I188" s="39"/>
      <c r="M188" s="39"/>
      <c r="N188" s="39"/>
      <c r="O188" s="39"/>
      <c r="U188" s="39"/>
      <c r="V188" s="39"/>
      <c r="W188" s="39"/>
      <c r="AC188" s="39"/>
      <c r="AD188" s="39"/>
      <c r="AE188" s="39"/>
      <c r="AK188" s="39"/>
      <c r="AL188" s="39"/>
      <c r="AM188" s="39"/>
      <c r="AS188" s="39"/>
      <c r="AT188" s="39"/>
      <c r="AU188" s="39"/>
      <c r="AZ188" s="40"/>
      <c r="BA188" s="39"/>
      <c r="BB188" s="39"/>
      <c r="BC188" s="39"/>
      <c r="BI188" s="39"/>
      <c r="BJ188" s="39"/>
      <c r="BK188" s="39"/>
      <c r="BQ188" s="39"/>
      <c r="BR188" s="39"/>
      <c r="BS188" s="39"/>
      <c r="BY188" s="39"/>
      <c r="BZ188" s="39"/>
      <c r="CA188" s="39"/>
      <c r="CG188" s="39"/>
      <c r="CH188" s="39"/>
      <c r="CI188" s="39"/>
    </row>
    <row r="189" spans="2:87" ht="15.75" customHeight="1">
      <c r="B189" s="2"/>
      <c r="C189" s="10"/>
      <c r="F189" s="39"/>
      <c r="G189" s="39"/>
      <c r="H189" s="39"/>
      <c r="I189" s="39"/>
      <c r="M189" s="39"/>
      <c r="N189" s="39"/>
      <c r="O189" s="39"/>
      <c r="U189" s="39"/>
      <c r="V189" s="39"/>
      <c r="W189" s="39"/>
      <c r="AC189" s="39"/>
      <c r="AD189" s="39"/>
      <c r="AE189" s="39"/>
      <c r="AK189" s="39"/>
      <c r="AL189" s="39"/>
      <c r="AM189" s="39"/>
      <c r="AS189" s="39"/>
      <c r="AT189" s="39"/>
      <c r="AU189" s="39"/>
      <c r="AZ189" s="40"/>
      <c r="BA189" s="39"/>
      <c r="BB189" s="39"/>
      <c r="BC189" s="39"/>
      <c r="BI189" s="39"/>
      <c r="BJ189" s="39"/>
      <c r="BK189" s="39"/>
      <c r="BQ189" s="39"/>
      <c r="BR189" s="39"/>
      <c r="BS189" s="39"/>
      <c r="BY189" s="39"/>
      <c r="BZ189" s="39"/>
      <c r="CA189" s="39"/>
      <c r="CG189" s="39"/>
      <c r="CH189" s="39"/>
      <c r="CI189" s="39"/>
    </row>
    <row r="190" spans="2:87" ht="15.75" customHeight="1">
      <c r="B190" s="2"/>
      <c r="C190" s="10"/>
      <c r="F190" s="39"/>
      <c r="G190" s="39"/>
      <c r="H190" s="39"/>
      <c r="I190" s="39"/>
      <c r="M190" s="39"/>
      <c r="N190" s="39"/>
      <c r="O190" s="39"/>
      <c r="U190" s="39"/>
      <c r="V190" s="39"/>
      <c r="W190" s="39"/>
      <c r="AC190" s="39"/>
      <c r="AD190" s="39"/>
      <c r="AE190" s="39"/>
      <c r="AK190" s="39"/>
      <c r="AL190" s="39"/>
      <c r="AM190" s="39"/>
      <c r="AS190" s="39"/>
      <c r="AT190" s="39"/>
      <c r="AU190" s="39"/>
      <c r="AZ190" s="40"/>
      <c r="BA190" s="39"/>
      <c r="BB190" s="39"/>
      <c r="BC190" s="39"/>
      <c r="BI190" s="39"/>
      <c r="BJ190" s="39"/>
      <c r="BK190" s="39"/>
      <c r="BQ190" s="39"/>
      <c r="BR190" s="39"/>
      <c r="BS190" s="39"/>
      <c r="BY190" s="39"/>
      <c r="BZ190" s="39"/>
      <c r="CA190" s="39"/>
      <c r="CG190" s="39"/>
      <c r="CH190" s="39"/>
      <c r="CI190" s="39"/>
    </row>
    <row r="191" spans="2:87" ht="15.75" customHeight="1">
      <c r="B191" s="2"/>
      <c r="C191" s="10"/>
      <c r="F191" s="39"/>
      <c r="G191" s="39"/>
      <c r="H191" s="39"/>
      <c r="I191" s="39"/>
      <c r="M191" s="39"/>
      <c r="N191" s="39"/>
      <c r="O191" s="39"/>
      <c r="U191" s="39"/>
      <c r="V191" s="39"/>
      <c r="W191" s="39"/>
      <c r="AC191" s="39"/>
      <c r="AD191" s="39"/>
      <c r="AE191" s="39"/>
      <c r="AK191" s="39"/>
      <c r="AL191" s="39"/>
      <c r="AM191" s="39"/>
      <c r="AS191" s="39"/>
      <c r="AT191" s="39"/>
      <c r="AU191" s="39"/>
      <c r="AZ191" s="40"/>
      <c r="BA191" s="39"/>
      <c r="BB191" s="39"/>
      <c r="BC191" s="39"/>
      <c r="BI191" s="39"/>
      <c r="BJ191" s="39"/>
      <c r="BK191" s="39"/>
      <c r="BQ191" s="39"/>
      <c r="BR191" s="39"/>
      <c r="BS191" s="39"/>
      <c r="BY191" s="39"/>
      <c r="BZ191" s="39"/>
      <c r="CA191" s="39"/>
      <c r="CG191" s="39"/>
      <c r="CH191" s="39"/>
      <c r="CI191" s="39"/>
    </row>
    <row r="192" spans="2:87" ht="15.75" customHeight="1">
      <c r="B192" s="2"/>
      <c r="C192" s="10"/>
      <c r="F192" s="39"/>
      <c r="G192" s="39"/>
      <c r="H192" s="39"/>
      <c r="I192" s="39"/>
      <c r="M192" s="39"/>
      <c r="N192" s="39"/>
      <c r="O192" s="39"/>
      <c r="U192" s="39"/>
      <c r="V192" s="39"/>
      <c r="W192" s="39"/>
      <c r="AC192" s="39"/>
      <c r="AD192" s="39"/>
      <c r="AE192" s="39"/>
      <c r="AK192" s="39"/>
      <c r="AL192" s="39"/>
      <c r="AM192" s="39"/>
      <c r="AS192" s="39"/>
      <c r="AT192" s="39"/>
      <c r="AU192" s="39"/>
      <c r="AZ192" s="40"/>
      <c r="BA192" s="39"/>
      <c r="BB192" s="39"/>
      <c r="BC192" s="39"/>
      <c r="BI192" s="39"/>
      <c r="BJ192" s="39"/>
      <c r="BK192" s="39"/>
      <c r="BQ192" s="39"/>
      <c r="BR192" s="39"/>
      <c r="BS192" s="39"/>
      <c r="BY192" s="39"/>
      <c r="BZ192" s="39"/>
      <c r="CA192" s="39"/>
      <c r="CG192" s="39"/>
      <c r="CH192" s="39"/>
      <c r="CI192" s="39"/>
    </row>
    <row r="193" spans="2:87" ht="15.75" customHeight="1">
      <c r="B193" s="2"/>
      <c r="C193" s="10"/>
      <c r="F193" s="39"/>
      <c r="G193" s="39"/>
      <c r="H193" s="39"/>
      <c r="I193" s="39"/>
      <c r="M193" s="39"/>
      <c r="N193" s="39"/>
      <c r="O193" s="39"/>
      <c r="U193" s="39"/>
      <c r="V193" s="39"/>
      <c r="W193" s="39"/>
      <c r="AC193" s="39"/>
      <c r="AD193" s="39"/>
      <c r="AE193" s="39"/>
      <c r="AK193" s="39"/>
      <c r="AL193" s="39"/>
      <c r="AM193" s="39"/>
      <c r="AS193" s="39"/>
      <c r="AT193" s="39"/>
      <c r="AU193" s="39"/>
      <c r="AZ193" s="40"/>
      <c r="BA193" s="39"/>
      <c r="BB193" s="39"/>
      <c r="BC193" s="39"/>
      <c r="BI193" s="39"/>
      <c r="BJ193" s="39"/>
      <c r="BK193" s="39"/>
      <c r="BQ193" s="39"/>
      <c r="BR193" s="39"/>
      <c r="BS193" s="39"/>
      <c r="BY193" s="39"/>
      <c r="BZ193" s="39"/>
      <c r="CA193" s="39"/>
      <c r="CG193" s="39"/>
      <c r="CH193" s="39"/>
      <c r="CI193" s="39"/>
    </row>
    <row r="194" spans="2:87" ht="15.75" customHeight="1">
      <c r="B194" s="2"/>
      <c r="C194" s="10"/>
      <c r="F194" s="39"/>
      <c r="G194" s="39"/>
      <c r="H194" s="39"/>
      <c r="I194" s="39"/>
      <c r="M194" s="39"/>
      <c r="N194" s="39"/>
      <c r="O194" s="39"/>
      <c r="U194" s="39"/>
      <c r="V194" s="39"/>
      <c r="W194" s="39"/>
      <c r="AC194" s="39"/>
      <c r="AD194" s="39"/>
      <c r="AE194" s="39"/>
      <c r="AK194" s="39"/>
      <c r="AL194" s="39"/>
      <c r="AM194" s="39"/>
      <c r="AS194" s="39"/>
      <c r="AT194" s="39"/>
      <c r="AU194" s="39"/>
      <c r="AZ194" s="40"/>
      <c r="BA194" s="39"/>
      <c r="BB194" s="39"/>
      <c r="BC194" s="39"/>
      <c r="BI194" s="39"/>
      <c r="BJ194" s="39"/>
      <c r="BK194" s="39"/>
      <c r="BQ194" s="39"/>
      <c r="BR194" s="39"/>
      <c r="BS194" s="39"/>
      <c r="BY194" s="39"/>
      <c r="BZ194" s="39"/>
      <c r="CA194" s="39"/>
      <c r="CG194" s="39"/>
      <c r="CH194" s="39"/>
      <c r="CI194" s="39"/>
    </row>
    <row r="195" spans="2:87" ht="15.75" customHeight="1">
      <c r="B195" s="2"/>
      <c r="C195" s="10"/>
      <c r="F195" s="39"/>
      <c r="G195" s="39"/>
      <c r="H195" s="39"/>
      <c r="I195" s="39"/>
      <c r="M195" s="39"/>
      <c r="N195" s="39"/>
      <c r="O195" s="39"/>
      <c r="U195" s="39"/>
      <c r="V195" s="39"/>
      <c r="W195" s="39"/>
      <c r="AC195" s="39"/>
      <c r="AD195" s="39"/>
      <c r="AE195" s="39"/>
      <c r="AK195" s="39"/>
      <c r="AL195" s="39"/>
      <c r="AM195" s="39"/>
      <c r="AS195" s="39"/>
      <c r="AT195" s="39"/>
      <c r="AU195" s="39"/>
      <c r="AZ195" s="40"/>
      <c r="BA195" s="39"/>
      <c r="BB195" s="39"/>
      <c r="BC195" s="39"/>
      <c r="BI195" s="39"/>
      <c r="BJ195" s="39"/>
      <c r="BK195" s="39"/>
      <c r="BQ195" s="39"/>
      <c r="BR195" s="39"/>
      <c r="BS195" s="39"/>
      <c r="BY195" s="39"/>
      <c r="BZ195" s="39"/>
      <c r="CA195" s="39"/>
      <c r="CG195" s="39"/>
      <c r="CH195" s="39"/>
      <c r="CI195" s="39"/>
    </row>
    <row r="196" spans="2:87" ht="15.75" customHeight="1">
      <c r="B196" s="2"/>
      <c r="C196" s="10"/>
      <c r="F196" s="39"/>
      <c r="G196" s="39"/>
      <c r="H196" s="39"/>
      <c r="I196" s="39"/>
      <c r="M196" s="39"/>
      <c r="N196" s="39"/>
      <c r="O196" s="39"/>
      <c r="U196" s="39"/>
      <c r="V196" s="39"/>
      <c r="W196" s="39"/>
      <c r="AC196" s="39"/>
      <c r="AD196" s="39"/>
      <c r="AE196" s="39"/>
      <c r="AK196" s="39"/>
      <c r="AL196" s="39"/>
      <c r="AM196" s="39"/>
      <c r="AS196" s="39"/>
      <c r="AT196" s="39"/>
      <c r="AU196" s="39"/>
      <c r="AZ196" s="40"/>
      <c r="BA196" s="39"/>
      <c r="BB196" s="39"/>
      <c r="BC196" s="39"/>
      <c r="BI196" s="39"/>
      <c r="BJ196" s="39"/>
      <c r="BK196" s="39"/>
      <c r="BQ196" s="39"/>
      <c r="BR196" s="39"/>
      <c r="BS196" s="39"/>
      <c r="BY196" s="39"/>
      <c r="BZ196" s="39"/>
      <c r="CA196" s="39"/>
      <c r="CG196" s="39"/>
      <c r="CH196" s="39"/>
      <c r="CI196" s="39"/>
    </row>
    <row r="197" spans="2:87" ht="15.75" customHeight="1">
      <c r="B197" s="2"/>
      <c r="C197" s="10"/>
      <c r="F197" s="39"/>
      <c r="G197" s="39"/>
      <c r="H197" s="39"/>
      <c r="I197" s="39"/>
      <c r="M197" s="39"/>
      <c r="N197" s="39"/>
      <c r="O197" s="39"/>
      <c r="U197" s="39"/>
      <c r="V197" s="39"/>
      <c r="W197" s="39"/>
      <c r="AC197" s="39"/>
      <c r="AD197" s="39"/>
      <c r="AE197" s="39"/>
      <c r="AK197" s="39"/>
      <c r="AL197" s="39"/>
      <c r="AM197" s="39"/>
      <c r="AS197" s="39"/>
      <c r="AT197" s="39"/>
      <c r="AU197" s="39"/>
      <c r="AZ197" s="40"/>
      <c r="BA197" s="39"/>
      <c r="BB197" s="39"/>
      <c r="BC197" s="39"/>
      <c r="BI197" s="39"/>
      <c r="BJ197" s="39"/>
      <c r="BK197" s="39"/>
      <c r="BQ197" s="39"/>
      <c r="BR197" s="39"/>
      <c r="BS197" s="39"/>
      <c r="BY197" s="39"/>
      <c r="BZ197" s="39"/>
      <c r="CA197" s="39"/>
      <c r="CG197" s="39"/>
      <c r="CH197" s="39"/>
      <c r="CI197" s="39"/>
    </row>
    <row r="198" spans="2:87" ht="15.75" customHeight="1">
      <c r="B198" s="2"/>
      <c r="C198" s="10"/>
      <c r="F198" s="39"/>
      <c r="G198" s="39"/>
      <c r="H198" s="39"/>
      <c r="I198" s="39"/>
      <c r="M198" s="39"/>
      <c r="N198" s="39"/>
      <c r="O198" s="39"/>
      <c r="U198" s="39"/>
      <c r="V198" s="39"/>
      <c r="W198" s="39"/>
      <c r="AC198" s="39"/>
      <c r="AD198" s="39"/>
      <c r="AE198" s="39"/>
      <c r="AK198" s="39"/>
      <c r="AL198" s="39"/>
      <c r="AM198" s="39"/>
      <c r="AS198" s="39"/>
      <c r="AT198" s="39"/>
      <c r="AU198" s="39"/>
      <c r="AZ198" s="40"/>
      <c r="BA198" s="39"/>
      <c r="BB198" s="39"/>
      <c r="BC198" s="39"/>
      <c r="BI198" s="39"/>
      <c r="BJ198" s="39"/>
      <c r="BK198" s="39"/>
      <c r="BQ198" s="39"/>
      <c r="BR198" s="39"/>
      <c r="BS198" s="39"/>
      <c r="BY198" s="39"/>
      <c r="BZ198" s="39"/>
      <c r="CA198" s="39"/>
      <c r="CG198" s="39"/>
      <c r="CH198" s="39"/>
      <c r="CI198" s="39"/>
    </row>
    <row r="199" spans="2:87" ht="15.75" customHeight="1">
      <c r="B199" s="2"/>
      <c r="C199" s="10"/>
      <c r="F199" s="39"/>
      <c r="G199" s="39"/>
      <c r="H199" s="39"/>
      <c r="I199" s="39"/>
      <c r="M199" s="39"/>
      <c r="N199" s="39"/>
      <c r="O199" s="39"/>
      <c r="U199" s="39"/>
      <c r="V199" s="39"/>
      <c r="W199" s="39"/>
      <c r="AC199" s="39"/>
      <c r="AD199" s="39"/>
      <c r="AE199" s="39"/>
      <c r="AK199" s="39"/>
      <c r="AL199" s="39"/>
      <c r="AM199" s="39"/>
      <c r="AS199" s="39"/>
      <c r="AT199" s="39"/>
      <c r="AU199" s="39"/>
      <c r="AZ199" s="40"/>
      <c r="BA199" s="39"/>
      <c r="BB199" s="39"/>
      <c r="BC199" s="39"/>
      <c r="BI199" s="39"/>
      <c r="BJ199" s="39"/>
      <c r="BK199" s="39"/>
      <c r="BQ199" s="39"/>
      <c r="BR199" s="39"/>
      <c r="BS199" s="39"/>
      <c r="BY199" s="39"/>
      <c r="BZ199" s="39"/>
      <c r="CA199" s="39"/>
      <c r="CG199" s="39"/>
      <c r="CH199" s="39"/>
      <c r="CI199" s="39"/>
    </row>
    <row r="200" spans="2:87" ht="15.75" customHeight="1">
      <c r="B200" s="2"/>
      <c r="C200" s="10"/>
      <c r="F200" s="39"/>
      <c r="G200" s="39"/>
      <c r="H200" s="39"/>
      <c r="I200" s="39"/>
      <c r="M200" s="39"/>
      <c r="N200" s="39"/>
      <c r="O200" s="39"/>
      <c r="U200" s="39"/>
      <c r="V200" s="39"/>
      <c r="W200" s="39"/>
      <c r="AC200" s="39"/>
      <c r="AD200" s="39"/>
      <c r="AE200" s="39"/>
      <c r="AK200" s="39"/>
      <c r="AL200" s="39"/>
      <c r="AM200" s="39"/>
      <c r="AS200" s="39"/>
      <c r="AT200" s="39"/>
      <c r="AU200" s="39"/>
      <c r="AZ200" s="40"/>
      <c r="BA200" s="39"/>
      <c r="BB200" s="39"/>
      <c r="BC200" s="39"/>
      <c r="BI200" s="39"/>
      <c r="BJ200" s="39"/>
      <c r="BK200" s="39"/>
      <c r="BQ200" s="39"/>
      <c r="BR200" s="39"/>
      <c r="BS200" s="39"/>
      <c r="BY200" s="39"/>
      <c r="BZ200" s="39"/>
      <c r="CA200" s="39"/>
      <c r="CG200" s="39"/>
      <c r="CH200" s="39"/>
      <c r="CI200" s="39"/>
    </row>
    <row r="201" spans="2:87" ht="15.75" customHeight="1">
      <c r="B201" s="2"/>
      <c r="C201" s="10"/>
      <c r="F201" s="39"/>
      <c r="G201" s="39"/>
      <c r="H201" s="39"/>
      <c r="I201" s="39"/>
      <c r="M201" s="39"/>
      <c r="N201" s="39"/>
      <c r="O201" s="39"/>
      <c r="U201" s="39"/>
      <c r="V201" s="39"/>
      <c r="W201" s="39"/>
      <c r="AC201" s="39"/>
      <c r="AD201" s="39"/>
      <c r="AE201" s="39"/>
      <c r="AK201" s="39"/>
      <c r="AL201" s="39"/>
      <c r="AM201" s="39"/>
      <c r="AS201" s="39"/>
      <c r="AT201" s="39"/>
      <c r="AU201" s="39"/>
      <c r="AZ201" s="40"/>
      <c r="BA201" s="39"/>
      <c r="BB201" s="39"/>
      <c r="BC201" s="39"/>
      <c r="BI201" s="39"/>
      <c r="BJ201" s="39"/>
      <c r="BK201" s="39"/>
      <c r="BQ201" s="39"/>
      <c r="BR201" s="39"/>
      <c r="BS201" s="39"/>
      <c r="BY201" s="39"/>
      <c r="BZ201" s="39"/>
      <c r="CA201" s="39"/>
      <c r="CG201" s="39"/>
      <c r="CH201" s="39"/>
      <c r="CI201" s="39"/>
    </row>
    <row r="202" spans="2:87" ht="15.75" customHeight="1">
      <c r="B202" s="2"/>
      <c r="C202" s="10"/>
      <c r="F202" s="39"/>
      <c r="G202" s="39"/>
      <c r="H202" s="39"/>
      <c r="I202" s="39"/>
      <c r="M202" s="39"/>
      <c r="N202" s="39"/>
      <c r="O202" s="39"/>
      <c r="U202" s="39"/>
      <c r="V202" s="39"/>
      <c r="W202" s="39"/>
      <c r="AC202" s="39"/>
      <c r="AD202" s="39"/>
      <c r="AE202" s="39"/>
      <c r="AK202" s="39"/>
      <c r="AL202" s="39"/>
      <c r="AM202" s="39"/>
      <c r="AS202" s="39"/>
      <c r="AT202" s="39"/>
      <c r="AU202" s="39"/>
      <c r="AZ202" s="40"/>
      <c r="BA202" s="39"/>
      <c r="BB202" s="39"/>
      <c r="BC202" s="39"/>
      <c r="BI202" s="39"/>
      <c r="BJ202" s="39"/>
      <c r="BK202" s="39"/>
      <c r="BQ202" s="39"/>
      <c r="BR202" s="39"/>
      <c r="BS202" s="39"/>
      <c r="BY202" s="39"/>
      <c r="BZ202" s="39"/>
      <c r="CA202" s="39"/>
      <c r="CG202" s="39"/>
      <c r="CH202" s="39"/>
      <c r="CI202" s="39"/>
    </row>
    <row r="203" spans="2:87" ht="15.75" customHeight="1">
      <c r="B203" s="2"/>
      <c r="C203" s="10"/>
      <c r="F203" s="39"/>
      <c r="G203" s="39"/>
      <c r="H203" s="39"/>
      <c r="I203" s="39"/>
      <c r="M203" s="39"/>
      <c r="N203" s="39"/>
      <c r="O203" s="39"/>
      <c r="U203" s="39"/>
      <c r="V203" s="39"/>
      <c r="W203" s="39"/>
      <c r="AC203" s="39"/>
      <c r="AD203" s="39"/>
      <c r="AE203" s="39"/>
      <c r="AK203" s="39"/>
      <c r="AL203" s="39"/>
      <c r="AM203" s="39"/>
      <c r="AS203" s="39"/>
      <c r="AT203" s="39"/>
      <c r="AU203" s="39"/>
      <c r="AZ203" s="40"/>
      <c r="BA203" s="39"/>
      <c r="BB203" s="39"/>
      <c r="BC203" s="39"/>
      <c r="BI203" s="39"/>
      <c r="BJ203" s="39"/>
      <c r="BK203" s="39"/>
      <c r="BQ203" s="39"/>
      <c r="BR203" s="39"/>
      <c r="BS203" s="39"/>
      <c r="BY203" s="39"/>
      <c r="BZ203" s="39"/>
      <c r="CA203" s="39"/>
      <c r="CG203" s="39"/>
      <c r="CH203" s="39"/>
      <c r="CI203" s="39"/>
    </row>
    <row r="204" spans="2:87" ht="15.75" customHeight="1">
      <c r="B204" s="2"/>
      <c r="C204" s="10"/>
      <c r="F204" s="39"/>
      <c r="G204" s="39"/>
      <c r="H204" s="39"/>
      <c r="I204" s="39"/>
      <c r="M204" s="39"/>
      <c r="N204" s="39"/>
      <c r="O204" s="39"/>
      <c r="U204" s="39"/>
      <c r="V204" s="39"/>
      <c r="W204" s="39"/>
      <c r="AC204" s="39"/>
      <c r="AD204" s="39"/>
      <c r="AE204" s="39"/>
      <c r="AK204" s="39"/>
      <c r="AL204" s="39"/>
      <c r="AM204" s="39"/>
      <c r="AS204" s="39"/>
      <c r="AT204" s="39"/>
      <c r="AU204" s="39"/>
      <c r="AZ204" s="40"/>
      <c r="BA204" s="39"/>
      <c r="BB204" s="39"/>
      <c r="BC204" s="39"/>
      <c r="BI204" s="39"/>
      <c r="BJ204" s="39"/>
      <c r="BK204" s="39"/>
      <c r="BQ204" s="39"/>
      <c r="BR204" s="39"/>
      <c r="BS204" s="39"/>
      <c r="BY204" s="39"/>
      <c r="BZ204" s="39"/>
      <c r="CA204" s="39"/>
      <c r="CG204" s="39"/>
      <c r="CH204" s="39"/>
      <c r="CI204" s="39"/>
    </row>
    <row r="205" spans="2:87" ht="15.75" customHeight="1">
      <c r="B205" s="2"/>
      <c r="C205" s="10"/>
      <c r="F205" s="39"/>
      <c r="G205" s="39"/>
      <c r="H205" s="39"/>
      <c r="I205" s="39"/>
      <c r="M205" s="39"/>
      <c r="N205" s="39"/>
      <c r="O205" s="39"/>
      <c r="U205" s="39"/>
      <c r="V205" s="39"/>
      <c r="W205" s="39"/>
      <c r="AC205" s="39"/>
      <c r="AD205" s="39"/>
      <c r="AE205" s="39"/>
      <c r="AK205" s="39"/>
      <c r="AL205" s="39"/>
      <c r="AM205" s="39"/>
      <c r="AS205" s="39"/>
      <c r="AT205" s="39"/>
      <c r="AU205" s="39"/>
      <c r="AZ205" s="40"/>
      <c r="BA205" s="39"/>
      <c r="BB205" s="39"/>
      <c r="BC205" s="39"/>
      <c r="BI205" s="39"/>
      <c r="BJ205" s="39"/>
      <c r="BK205" s="39"/>
      <c r="BQ205" s="39"/>
      <c r="BR205" s="39"/>
      <c r="BS205" s="39"/>
      <c r="BY205" s="39"/>
      <c r="BZ205" s="39"/>
      <c r="CA205" s="39"/>
      <c r="CG205" s="39"/>
      <c r="CH205" s="39"/>
      <c r="CI205" s="39"/>
    </row>
    <row r="206" spans="2:87" ht="15.75" customHeight="1">
      <c r="B206" s="2"/>
      <c r="C206" s="10"/>
      <c r="F206" s="39"/>
      <c r="G206" s="39"/>
      <c r="H206" s="39"/>
      <c r="I206" s="39"/>
      <c r="M206" s="39"/>
      <c r="N206" s="39"/>
      <c r="O206" s="39"/>
      <c r="U206" s="39"/>
      <c r="V206" s="39"/>
      <c r="W206" s="39"/>
      <c r="AC206" s="39"/>
      <c r="AD206" s="39"/>
      <c r="AE206" s="39"/>
      <c r="AK206" s="39"/>
      <c r="AL206" s="39"/>
      <c r="AM206" s="39"/>
      <c r="AS206" s="39"/>
      <c r="AT206" s="39"/>
      <c r="AU206" s="39"/>
      <c r="AZ206" s="40"/>
      <c r="BA206" s="39"/>
      <c r="BB206" s="39"/>
      <c r="BC206" s="39"/>
      <c r="BI206" s="39"/>
      <c r="BJ206" s="39"/>
      <c r="BK206" s="39"/>
      <c r="BQ206" s="39"/>
      <c r="BR206" s="39"/>
      <c r="BS206" s="39"/>
      <c r="BY206" s="39"/>
      <c r="BZ206" s="39"/>
      <c r="CA206" s="39"/>
      <c r="CG206" s="39"/>
      <c r="CH206" s="39"/>
      <c r="CI206" s="39"/>
    </row>
    <row r="207" spans="2:87" ht="15.75" customHeight="1">
      <c r="B207" s="2"/>
      <c r="C207" s="10"/>
      <c r="F207" s="39"/>
      <c r="G207" s="39"/>
      <c r="H207" s="39"/>
      <c r="I207" s="39"/>
      <c r="M207" s="39"/>
      <c r="N207" s="39"/>
      <c r="O207" s="39"/>
      <c r="U207" s="39"/>
      <c r="V207" s="39"/>
      <c r="W207" s="39"/>
      <c r="AC207" s="39"/>
      <c r="AD207" s="39"/>
      <c r="AE207" s="39"/>
      <c r="AK207" s="39"/>
      <c r="AL207" s="39"/>
      <c r="AM207" s="39"/>
      <c r="AS207" s="39"/>
      <c r="AT207" s="39"/>
      <c r="AU207" s="39"/>
      <c r="AZ207" s="40"/>
      <c r="BA207" s="39"/>
      <c r="BB207" s="39"/>
      <c r="BC207" s="39"/>
      <c r="BI207" s="39"/>
      <c r="BJ207" s="39"/>
      <c r="BK207" s="39"/>
      <c r="BQ207" s="39"/>
      <c r="BR207" s="39"/>
      <c r="BS207" s="39"/>
      <c r="BY207" s="39"/>
      <c r="BZ207" s="39"/>
      <c r="CA207" s="39"/>
      <c r="CG207" s="39"/>
      <c r="CH207" s="39"/>
      <c r="CI207" s="39"/>
    </row>
    <row r="208" spans="2:87" ht="15.75" customHeight="1">
      <c r="B208" s="2"/>
      <c r="C208" s="10"/>
      <c r="F208" s="39"/>
      <c r="G208" s="39"/>
      <c r="H208" s="39"/>
      <c r="I208" s="39"/>
      <c r="M208" s="39"/>
      <c r="N208" s="39"/>
      <c r="O208" s="39"/>
      <c r="U208" s="39"/>
      <c r="V208" s="39"/>
      <c r="W208" s="39"/>
      <c r="AC208" s="39"/>
      <c r="AD208" s="39"/>
      <c r="AE208" s="39"/>
      <c r="AK208" s="39"/>
      <c r="AL208" s="39"/>
      <c r="AM208" s="39"/>
      <c r="AS208" s="39"/>
      <c r="AT208" s="39"/>
      <c r="AU208" s="39"/>
      <c r="AZ208" s="40"/>
      <c r="BA208" s="39"/>
      <c r="BB208" s="39"/>
      <c r="BC208" s="39"/>
      <c r="BI208" s="39"/>
      <c r="BJ208" s="39"/>
      <c r="BK208" s="39"/>
      <c r="BQ208" s="39"/>
      <c r="BR208" s="39"/>
      <c r="BS208" s="39"/>
      <c r="BY208" s="39"/>
      <c r="BZ208" s="39"/>
      <c r="CA208" s="39"/>
      <c r="CG208" s="39"/>
      <c r="CH208" s="39"/>
      <c r="CI208" s="39"/>
    </row>
    <row r="209" spans="2:87" ht="15.75" customHeight="1">
      <c r="B209" s="2"/>
      <c r="C209" s="10"/>
      <c r="F209" s="39"/>
      <c r="G209" s="39"/>
      <c r="H209" s="39"/>
      <c r="I209" s="39"/>
      <c r="M209" s="39"/>
      <c r="N209" s="39"/>
      <c r="O209" s="39"/>
      <c r="U209" s="39"/>
      <c r="V209" s="39"/>
      <c r="W209" s="39"/>
      <c r="AC209" s="39"/>
      <c r="AD209" s="39"/>
      <c r="AE209" s="39"/>
      <c r="AK209" s="39"/>
      <c r="AL209" s="39"/>
      <c r="AM209" s="39"/>
      <c r="AS209" s="39"/>
      <c r="AT209" s="39"/>
      <c r="AU209" s="39"/>
      <c r="AZ209" s="40"/>
      <c r="BA209" s="39"/>
      <c r="BB209" s="39"/>
      <c r="BC209" s="39"/>
      <c r="BI209" s="39"/>
      <c r="BJ209" s="39"/>
      <c r="BK209" s="39"/>
      <c r="BQ209" s="39"/>
      <c r="BR209" s="39"/>
      <c r="BS209" s="39"/>
      <c r="BY209" s="39"/>
      <c r="BZ209" s="39"/>
      <c r="CA209" s="39"/>
      <c r="CG209" s="39"/>
      <c r="CH209" s="39"/>
      <c r="CI209" s="39"/>
    </row>
    <row r="210" spans="2:87" ht="15.75" customHeight="1">
      <c r="B210" s="2"/>
      <c r="C210" s="10"/>
      <c r="F210" s="39"/>
      <c r="G210" s="39"/>
      <c r="H210" s="39"/>
      <c r="I210" s="39"/>
      <c r="M210" s="39"/>
      <c r="N210" s="39"/>
      <c r="O210" s="39"/>
      <c r="U210" s="39"/>
      <c r="V210" s="39"/>
      <c r="W210" s="39"/>
      <c r="AC210" s="39"/>
      <c r="AD210" s="39"/>
      <c r="AE210" s="39"/>
      <c r="AK210" s="39"/>
      <c r="AL210" s="39"/>
      <c r="AM210" s="39"/>
      <c r="AS210" s="39"/>
      <c r="AT210" s="39"/>
      <c r="AU210" s="39"/>
      <c r="AZ210" s="40"/>
      <c r="BA210" s="39"/>
      <c r="BB210" s="39"/>
      <c r="BC210" s="39"/>
      <c r="BI210" s="39"/>
      <c r="BJ210" s="39"/>
      <c r="BK210" s="39"/>
      <c r="BQ210" s="39"/>
      <c r="BR210" s="39"/>
      <c r="BS210" s="39"/>
      <c r="BY210" s="39"/>
      <c r="BZ210" s="39"/>
      <c r="CA210" s="39"/>
      <c r="CG210" s="39"/>
      <c r="CH210" s="39"/>
      <c r="CI210" s="39"/>
    </row>
    <row r="211" spans="2:87" ht="15.75" customHeight="1">
      <c r="B211" s="2"/>
      <c r="C211" s="10"/>
      <c r="F211" s="39"/>
      <c r="G211" s="39"/>
      <c r="H211" s="39"/>
      <c r="I211" s="39"/>
      <c r="M211" s="39"/>
      <c r="N211" s="39"/>
      <c r="O211" s="39"/>
      <c r="U211" s="39"/>
      <c r="V211" s="39"/>
      <c r="W211" s="39"/>
      <c r="AC211" s="39"/>
      <c r="AD211" s="39"/>
      <c r="AE211" s="39"/>
      <c r="AK211" s="39"/>
      <c r="AL211" s="39"/>
      <c r="AM211" s="39"/>
      <c r="AS211" s="39"/>
      <c r="AT211" s="39"/>
      <c r="AU211" s="39"/>
      <c r="AZ211" s="40"/>
      <c r="BA211" s="39"/>
      <c r="BB211" s="39"/>
      <c r="BC211" s="39"/>
      <c r="BI211" s="39"/>
      <c r="BJ211" s="39"/>
      <c r="BK211" s="39"/>
      <c r="BQ211" s="39"/>
      <c r="BR211" s="39"/>
      <c r="BS211" s="39"/>
      <c r="BY211" s="39"/>
      <c r="BZ211" s="39"/>
      <c r="CA211" s="39"/>
      <c r="CG211" s="39"/>
      <c r="CH211" s="39"/>
      <c r="CI211" s="39"/>
    </row>
    <row r="212" spans="2:87" ht="15.75" customHeight="1">
      <c r="B212" s="2"/>
      <c r="C212" s="10"/>
      <c r="F212" s="39"/>
      <c r="G212" s="39"/>
      <c r="H212" s="39"/>
      <c r="I212" s="39"/>
      <c r="M212" s="39"/>
      <c r="N212" s="39"/>
      <c r="O212" s="39"/>
      <c r="U212" s="39"/>
      <c r="V212" s="39"/>
      <c r="W212" s="39"/>
      <c r="AC212" s="39"/>
      <c r="AD212" s="39"/>
      <c r="AE212" s="39"/>
      <c r="AK212" s="39"/>
      <c r="AL212" s="39"/>
      <c r="AM212" s="39"/>
      <c r="AS212" s="39"/>
      <c r="AT212" s="39"/>
      <c r="AU212" s="39"/>
      <c r="AZ212" s="40"/>
      <c r="BA212" s="39"/>
      <c r="BB212" s="39"/>
      <c r="BC212" s="39"/>
      <c r="BI212" s="39"/>
      <c r="BJ212" s="39"/>
      <c r="BK212" s="39"/>
      <c r="BQ212" s="39"/>
      <c r="BR212" s="39"/>
      <c r="BS212" s="39"/>
      <c r="BY212" s="39"/>
      <c r="BZ212" s="39"/>
      <c r="CA212" s="39"/>
      <c r="CG212" s="39"/>
      <c r="CH212" s="39"/>
      <c r="CI212" s="39"/>
    </row>
    <row r="213" spans="2:87" ht="15.75" customHeight="1">
      <c r="B213" s="2"/>
      <c r="C213" s="10"/>
      <c r="F213" s="39"/>
      <c r="G213" s="39"/>
      <c r="H213" s="39"/>
      <c r="I213" s="39"/>
      <c r="M213" s="39"/>
      <c r="N213" s="39"/>
      <c r="O213" s="39"/>
      <c r="U213" s="39"/>
      <c r="V213" s="39"/>
      <c r="W213" s="39"/>
      <c r="AC213" s="39"/>
      <c r="AD213" s="39"/>
      <c r="AE213" s="39"/>
      <c r="AK213" s="39"/>
      <c r="AL213" s="39"/>
      <c r="AM213" s="39"/>
      <c r="AS213" s="39"/>
      <c r="AT213" s="39"/>
      <c r="AU213" s="39"/>
      <c r="AZ213" s="40"/>
      <c r="BA213" s="39"/>
      <c r="BB213" s="39"/>
      <c r="BC213" s="39"/>
      <c r="BI213" s="39"/>
      <c r="BJ213" s="39"/>
      <c r="BK213" s="39"/>
      <c r="BQ213" s="39"/>
      <c r="BR213" s="39"/>
      <c r="BS213" s="39"/>
      <c r="BY213" s="39"/>
      <c r="BZ213" s="39"/>
      <c r="CA213" s="39"/>
      <c r="CG213" s="39"/>
      <c r="CH213" s="39"/>
      <c r="CI213" s="39"/>
    </row>
    <row r="214" spans="2:87" ht="15.75" customHeight="1">
      <c r="B214" s="2"/>
      <c r="C214" s="10"/>
      <c r="F214" s="39"/>
      <c r="G214" s="39"/>
      <c r="H214" s="39"/>
      <c r="I214" s="39"/>
      <c r="M214" s="39"/>
      <c r="N214" s="39"/>
      <c r="O214" s="39"/>
      <c r="U214" s="39"/>
      <c r="V214" s="39"/>
      <c r="W214" s="39"/>
      <c r="AC214" s="39"/>
      <c r="AD214" s="39"/>
      <c r="AE214" s="39"/>
      <c r="AK214" s="39"/>
      <c r="AL214" s="39"/>
      <c r="AM214" s="39"/>
      <c r="AS214" s="39"/>
      <c r="AT214" s="39"/>
      <c r="AU214" s="39"/>
      <c r="AZ214" s="40"/>
      <c r="BA214" s="39"/>
      <c r="BB214" s="39"/>
      <c r="BC214" s="39"/>
      <c r="BI214" s="39"/>
      <c r="BJ214" s="39"/>
      <c r="BK214" s="39"/>
      <c r="BQ214" s="39"/>
      <c r="BR214" s="39"/>
      <c r="BS214" s="39"/>
      <c r="BY214" s="39"/>
      <c r="BZ214" s="39"/>
      <c r="CA214" s="39"/>
      <c r="CG214" s="39"/>
      <c r="CH214" s="39"/>
      <c r="CI214" s="39"/>
    </row>
    <row r="215" spans="2:87" ht="15.75" customHeight="1">
      <c r="B215" s="2"/>
      <c r="C215" s="10"/>
      <c r="F215" s="39"/>
      <c r="G215" s="39"/>
      <c r="H215" s="39"/>
      <c r="I215" s="39"/>
      <c r="M215" s="39"/>
      <c r="N215" s="39"/>
      <c r="O215" s="39"/>
      <c r="U215" s="39"/>
      <c r="V215" s="39"/>
      <c r="W215" s="39"/>
      <c r="AC215" s="39"/>
      <c r="AD215" s="39"/>
      <c r="AE215" s="39"/>
      <c r="AK215" s="39"/>
      <c r="AL215" s="39"/>
      <c r="AM215" s="39"/>
      <c r="AS215" s="39"/>
      <c r="AT215" s="39"/>
      <c r="AU215" s="39"/>
      <c r="AZ215" s="40"/>
      <c r="BA215" s="39"/>
      <c r="BB215" s="39"/>
      <c r="BC215" s="39"/>
      <c r="BI215" s="39"/>
      <c r="BJ215" s="39"/>
      <c r="BK215" s="39"/>
      <c r="BQ215" s="39"/>
      <c r="BR215" s="39"/>
      <c r="BS215" s="39"/>
      <c r="BY215" s="39"/>
      <c r="BZ215" s="39"/>
      <c r="CA215" s="39"/>
      <c r="CG215" s="39"/>
      <c r="CH215" s="39"/>
      <c r="CI215" s="39"/>
    </row>
    <row r="216" spans="2:87" ht="15.75" customHeight="1">
      <c r="B216" s="2"/>
      <c r="C216" s="10"/>
      <c r="F216" s="39"/>
      <c r="G216" s="39"/>
      <c r="H216" s="39"/>
      <c r="I216" s="39"/>
      <c r="M216" s="39"/>
      <c r="N216" s="39"/>
      <c r="O216" s="39"/>
      <c r="U216" s="39"/>
      <c r="V216" s="39"/>
      <c r="W216" s="39"/>
      <c r="AC216" s="39"/>
      <c r="AD216" s="39"/>
      <c r="AE216" s="39"/>
      <c r="AK216" s="39"/>
      <c r="AL216" s="39"/>
      <c r="AM216" s="39"/>
      <c r="AS216" s="39"/>
      <c r="AT216" s="39"/>
      <c r="AU216" s="39"/>
      <c r="AZ216" s="40"/>
      <c r="BA216" s="39"/>
      <c r="BB216" s="39"/>
      <c r="BC216" s="39"/>
      <c r="BI216" s="39"/>
      <c r="BJ216" s="39"/>
      <c r="BK216" s="39"/>
      <c r="BQ216" s="39"/>
      <c r="BR216" s="39"/>
      <c r="BS216" s="39"/>
      <c r="BY216" s="39"/>
      <c r="BZ216" s="39"/>
      <c r="CA216" s="39"/>
      <c r="CG216" s="39"/>
      <c r="CH216" s="39"/>
      <c r="CI216" s="39"/>
    </row>
    <row r="217" spans="2:87" ht="15.75" customHeight="1">
      <c r="B217" s="2"/>
      <c r="C217" s="10"/>
      <c r="F217" s="39"/>
      <c r="G217" s="39"/>
      <c r="H217" s="39"/>
      <c r="I217" s="39"/>
      <c r="M217" s="39"/>
      <c r="N217" s="39"/>
      <c r="O217" s="39"/>
      <c r="U217" s="39"/>
      <c r="V217" s="39"/>
      <c r="W217" s="39"/>
      <c r="AC217" s="39"/>
      <c r="AD217" s="39"/>
      <c r="AE217" s="39"/>
      <c r="AK217" s="39"/>
      <c r="AL217" s="39"/>
      <c r="AM217" s="39"/>
      <c r="AS217" s="39"/>
      <c r="AT217" s="39"/>
      <c r="AU217" s="39"/>
      <c r="AZ217" s="40"/>
      <c r="BA217" s="39"/>
      <c r="BB217" s="39"/>
      <c r="BC217" s="39"/>
      <c r="BI217" s="39"/>
      <c r="BJ217" s="39"/>
      <c r="BK217" s="39"/>
      <c r="BQ217" s="39"/>
      <c r="BR217" s="39"/>
      <c r="BS217" s="39"/>
      <c r="BY217" s="39"/>
      <c r="BZ217" s="39"/>
      <c r="CA217" s="39"/>
      <c r="CG217" s="39"/>
      <c r="CH217" s="39"/>
      <c r="CI217" s="39"/>
    </row>
    <row r="218" spans="2:87" ht="15.75" customHeight="1">
      <c r="B218" s="2"/>
      <c r="C218" s="10"/>
      <c r="F218" s="39"/>
      <c r="G218" s="39"/>
      <c r="H218" s="39"/>
      <c r="I218" s="39"/>
      <c r="M218" s="39"/>
      <c r="N218" s="39"/>
      <c r="O218" s="39"/>
      <c r="U218" s="39"/>
      <c r="V218" s="39"/>
      <c r="W218" s="39"/>
      <c r="AC218" s="39"/>
      <c r="AD218" s="39"/>
      <c r="AE218" s="39"/>
      <c r="AK218" s="39"/>
      <c r="AL218" s="39"/>
      <c r="AM218" s="39"/>
      <c r="AS218" s="39"/>
      <c r="AT218" s="39"/>
      <c r="AU218" s="39"/>
      <c r="AZ218" s="40"/>
      <c r="BA218" s="39"/>
      <c r="BB218" s="39"/>
      <c r="BC218" s="39"/>
      <c r="BI218" s="39"/>
      <c r="BJ218" s="39"/>
      <c r="BK218" s="39"/>
      <c r="BQ218" s="39"/>
      <c r="BR218" s="39"/>
      <c r="BS218" s="39"/>
      <c r="BY218" s="39"/>
      <c r="BZ218" s="39"/>
      <c r="CA218" s="39"/>
      <c r="CG218" s="39"/>
      <c r="CH218" s="39"/>
      <c r="CI218" s="39"/>
    </row>
    <row r="219" spans="2:87" ht="15.75" customHeight="1">
      <c r="B219" s="2"/>
      <c r="C219" s="10"/>
      <c r="F219" s="39"/>
      <c r="G219" s="39"/>
      <c r="H219" s="39"/>
      <c r="I219" s="39"/>
      <c r="M219" s="39"/>
      <c r="N219" s="39"/>
      <c r="O219" s="39"/>
      <c r="U219" s="39"/>
      <c r="V219" s="39"/>
      <c r="W219" s="39"/>
      <c r="AC219" s="39"/>
      <c r="AD219" s="39"/>
      <c r="AE219" s="39"/>
      <c r="AK219" s="39"/>
      <c r="AL219" s="39"/>
      <c r="AM219" s="39"/>
      <c r="AS219" s="39"/>
      <c r="AT219" s="39"/>
      <c r="AU219" s="39"/>
      <c r="AZ219" s="40"/>
      <c r="BA219" s="39"/>
      <c r="BB219" s="39"/>
      <c r="BC219" s="39"/>
      <c r="BI219" s="39"/>
      <c r="BJ219" s="39"/>
      <c r="BK219" s="39"/>
      <c r="BQ219" s="39"/>
      <c r="BR219" s="39"/>
      <c r="BS219" s="39"/>
      <c r="BY219" s="39"/>
      <c r="BZ219" s="39"/>
      <c r="CA219" s="39"/>
      <c r="CG219" s="39"/>
      <c r="CH219" s="39"/>
      <c r="CI219" s="39"/>
    </row>
    <row r="220" spans="2:87" ht="15.75" customHeight="1">
      <c r="B220" s="2"/>
      <c r="C220" s="10"/>
      <c r="F220" s="39"/>
      <c r="G220" s="39"/>
      <c r="H220" s="39"/>
      <c r="I220" s="39"/>
      <c r="M220" s="39"/>
      <c r="N220" s="39"/>
      <c r="O220" s="39"/>
      <c r="U220" s="39"/>
      <c r="V220" s="39"/>
      <c r="W220" s="39"/>
      <c r="AC220" s="39"/>
      <c r="AD220" s="39"/>
      <c r="AE220" s="39"/>
      <c r="AK220" s="39"/>
      <c r="AL220" s="39"/>
      <c r="AM220" s="39"/>
      <c r="AS220" s="39"/>
      <c r="AT220" s="39"/>
      <c r="AU220" s="39"/>
      <c r="AZ220" s="40"/>
      <c r="BA220" s="39"/>
      <c r="BB220" s="39"/>
      <c r="BC220" s="39"/>
      <c r="BI220" s="39"/>
      <c r="BJ220" s="39"/>
      <c r="BK220" s="39"/>
      <c r="BQ220" s="39"/>
      <c r="BR220" s="39"/>
      <c r="BS220" s="39"/>
      <c r="BY220" s="39"/>
      <c r="BZ220" s="39"/>
      <c r="CA220" s="39"/>
      <c r="CG220" s="39"/>
      <c r="CH220" s="39"/>
      <c r="CI220" s="39"/>
    </row>
    <row r="221" spans="2:87" ht="15.75" customHeight="1">
      <c r="B221" s="2"/>
      <c r="C221" s="10"/>
      <c r="F221" s="39"/>
      <c r="G221" s="39"/>
      <c r="H221" s="39"/>
      <c r="I221" s="39"/>
      <c r="M221" s="39"/>
      <c r="N221" s="39"/>
      <c r="O221" s="39"/>
      <c r="U221" s="39"/>
      <c r="V221" s="39"/>
      <c r="W221" s="39"/>
      <c r="AC221" s="39"/>
      <c r="AD221" s="39"/>
      <c r="AE221" s="39"/>
      <c r="AK221" s="39"/>
      <c r="AL221" s="39"/>
      <c r="AM221" s="39"/>
      <c r="AS221" s="39"/>
      <c r="AT221" s="39"/>
      <c r="AU221" s="39"/>
      <c r="AZ221" s="40"/>
      <c r="BA221" s="39"/>
      <c r="BB221" s="39"/>
      <c r="BC221" s="39"/>
      <c r="BI221" s="39"/>
      <c r="BJ221" s="39"/>
      <c r="BK221" s="39"/>
      <c r="BQ221" s="39"/>
      <c r="BR221" s="39"/>
      <c r="BS221" s="39"/>
      <c r="BY221" s="39"/>
      <c r="BZ221" s="39"/>
      <c r="CA221" s="39"/>
      <c r="CG221" s="39"/>
      <c r="CH221" s="39"/>
      <c r="CI221" s="39"/>
    </row>
    <row r="222" spans="2:87" ht="15.75" customHeight="1">
      <c r="B222" s="2"/>
      <c r="C222" s="10"/>
      <c r="F222" s="39"/>
      <c r="G222" s="39"/>
      <c r="H222" s="39"/>
      <c r="I222" s="39"/>
      <c r="M222" s="39"/>
      <c r="N222" s="39"/>
      <c r="O222" s="39"/>
      <c r="U222" s="39"/>
      <c r="V222" s="39"/>
      <c r="W222" s="39"/>
      <c r="AC222" s="39"/>
      <c r="AD222" s="39"/>
      <c r="AE222" s="39"/>
      <c r="AK222" s="39"/>
      <c r="AL222" s="39"/>
      <c r="AM222" s="39"/>
      <c r="AS222" s="39"/>
      <c r="AT222" s="39"/>
      <c r="AU222" s="39"/>
      <c r="AZ222" s="40"/>
      <c r="BA222" s="39"/>
      <c r="BB222" s="39"/>
      <c r="BC222" s="39"/>
      <c r="BI222" s="39"/>
      <c r="BJ222" s="39"/>
      <c r="BK222" s="39"/>
      <c r="BQ222" s="39"/>
      <c r="BR222" s="39"/>
      <c r="BS222" s="39"/>
      <c r="BY222" s="39"/>
      <c r="BZ222" s="39"/>
      <c r="CA222" s="39"/>
      <c r="CG222" s="39"/>
      <c r="CH222" s="39"/>
      <c r="CI222" s="39"/>
    </row>
    <row r="223" spans="2:87" ht="15.75" customHeight="1">
      <c r="B223" s="2"/>
      <c r="C223" s="10"/>
      <c r="F223" s="39"/>
      <c r="G223" s="39"/>
      <c r="H223" s="39"/>
      <c r="I223" s="39"/>
      <c r="M223" s="39"/>
      <c r="N223" s="39"/>
      <c r="O223" s="39"/>
      <c r="U223" s="39"/>
      <c r="V223" s="39"/>
      <c r="W223" s="39"/>
      <c r="AC223" s="39"/>
      <c r="AD223" s="39"/>
      <c r="AE223" s="39"/>
      <c r="AK223" s="39"/>
      <c r="AL223" s="39"/>
      <c r="AM223" s="39"/>
      <c r="AS223" s="39"/>
      <c r="AT223" s="39"/>
      <c r="AU223" s="39"/>
      <c r="AZ223" s="40"/>
      <c r="BA223" s="39"/>
      <c r="BB223" s="39"/>
      <c r="BC223" s="39"/>
      <c r="BI223" s="39"/>
      <c r="BJ223" s="39"/>
      <c r="BK223" s="39"/>
      <c r="BQ223" s="39"/>
      <c r="BR223" s="39"/>
      <c r="BS223" s="39"/>
      <c r="BY223" s="39"/>
      <c r="BZ223" s="39"/>
      <c r="CA223" s="39"/>
      <c r="CG223" s="39"/>
      <c r="CH223" s="39"/>
      <c r="CI223" s="39"/>
    </row>
    <row r="224" spans="2:87" ht="15.75" customHeight="1">
      <c r="B224" s="2"/>
      <c r="C224" s="10"/>
      <c r="F224" s="39"/>
      <c r="G224" s="39"/>
      <c r="H224" s="39"/>
      <c r="I224" s="39"/>
      <c r="M224" s="39"/>
      <c r="N224" s="39"/>
      <c r="O224" s="39"/>
      <c r="U224" s="39"/>
      <c r="V224" s="39"/>
      <c r="W224" s="39"/>
      <c r="AC224" s="39"/>
      <c r="AD224" s="39"/>
      <c r="AE224" s="39"/>
      <c r="AK224" s="39"/>
      <c r="AL224" s="39"/>
      <c r="AM224" s="39"/>
      <c r="AS224" s="39"/>
      <c r="AT224" s="39"/>
      <c r="AU224" s="39"/>
      <c r="AZ224" s="40"/>
      <c r="BA224" s="39"/>
      <c r="BB224" s="39"/>
      <c r="BC224" s="39"/>
      <c r="BI224" s="39"/>
      <c r="BJ224" s="39"/>
      <c r="BK224" s="39"/>
      <c r="BQ224" s="39"/>
      <c r="BR224" s="39"/>
      <c r="BS224" s="39"/>
      <c r="BY224" s="39"/>
      <c r="BZ224" s="39"/>
      <c r="CA224" s="39"/>
      <c r="CG224" s="39"/>
      <c r="CH224" s="39"/>
      <c r="CI224" s="39"/>
    </row>
    <row r="225" spans="2:87" ht="15.75" customHeight="1">
      <c r="B225" s="2"/>
      <c r="C225" s="10"/>
      <c r="F225" s="39"/>
      <c r="G225" s="39"/>
      <c r="H225" s="39"/>
      <c r="I225" s="39"/>
      <c r="M225" s="39"/>
      <c r="N225" s="39"/>
      <c r="O225" s="39"/>
      <c r="U225" s="39"/>
      <c r="V225" s="39"/>
      <c r="W225" s="39"/>
      <c r="AC225" s="39"/>
      <c r="AD225" s="39"/>
      <c r="AE225" s="39"/>
      <c r="AK225" s="39"/>
      <c r="AL225" s="39"/>
      <c r="AM225" s="39"/>
      <c r="AS225" s="39"/>
      <c r="AT225" s="39"/>
      <c r="AU225" s="39"/>
      <c r="AZ225" s="40"/>
      <c r="BA225" s="39"/>
      <c r="BB225" s="39"/>
      <c r="BC225" s="39"/>
      <c r="BI225" s="39"/>
      <c r="BJ225" s="39"/>
      <c r="BK225" s="39"/>
      <c r="BQ225" s="39"/>
      <c r="BR225" s="39"/>
      <c r="BS225" s="39"/>
      <c r="BY225" s="39"/>
      <c r="BZ225" s="39"/>
      <c r="CA225" s="39"/>
      <c r="CG225" s="39"/>
      <c r="CH225" s="39"/>
      <c r="CI225" s="39"/>
    </row>
    <row r="226" spans="2:87" ht="15.75" customHeight="1">
      <c r="B226" s="2"/>
      <c r="C226" s="10"/>
      <c r="F226" s="39"/>
      <c r="G226" s="39"/>
      <c r="H226" s="39"/>
      <c r="I226" s="39"/>
      <c r="M226" s="39"/>
      <c r="N226" s="39"/>
      <c r="O226" s="39"/>
      <c r="U226" s="39"/>
      <c r="V226" s="39"/>
      <c r="W226" s="39"/>
      <c r="AC226" s="39"/>
      <c r="AD226" s="39"/>
      <c r="AE226" s="39"/>
      <c r="AK226" s="39"/>
      <c r="AL226" s="39"/>
      <c r="AM226" s="39"/>
      <c r="AS226" s="39"/>
      <c r="AT226" s="39"/>
      <c r="AU226" s="39"/>
      <c r="AZ226" s="40"/>
      <c r="BA226" s="39"/>
      <c r="BB226" s="39"/>
      <c r="BC226" s="39"/>
      <c r="BI226" s="39"/>
      <c r="BJ226" s="39"/>
      <c r="BK226" s="39"/>
      <c r="BQ226" s="39"/>
      <c r="BR226" s="39"/>
      <c r="BS226" s="39"/>
      <c r="BY226" s="39"/>
      <c r="BZ226" s="39"/>
      <c r="CA226" s="39"/>
      <c r="CG226" s="39"/>
      <c r="CH226" s="39"/>
      <c r="CI226" s="39"/>
    </row>
    <row r="227" spans="2:87" ht="15.75" customHeight="1">
      <c r="B227" s="2"/>
      <c r="C227" s="10"/>
      <c r="F227" s="39"/>
      <c r="G227" s="39"/>
      <c r="H227" s="39"/>
      <c r="I227" s="39"/>
      <c r="M227" s="39"/>
      <c r="N227" s="39"/>
      <c r="O227" s="39"/>
      <c r="U227" s="39"/>
      <c r="V227" s="39"/>
      <c r="W227" s="39"/>
      <c r="AC227" s="39"/>
      <c r="AD227" s="39"/>
      <c r="AE227" s="39"/>
      <c r="AK227" s="39"/>
      <c r="AL227" s="39"/>
      <c r="AM227" s="39"/>
      <c r="AS227" s="39"/>
      <c r="AT227" s="39"/>
      <c r="AU227" s="39"/>
      <c r="AZ227" s="40"/>
      <c r="BA227" s="39"/>
      <c r="BB227" s="39"/>
      <c r="BC227" s="39"/>
      <c r="BI227" s="39"/>
      <c r="BJ227" s="39"/>
      <c r="BK227" s="39"/>
      <c r="BQ227" s="39"/>
      <c r="BR227" s="39"/>
      <c r="BS227" s="39"/>
      <c r="BY227" s="39"/>
      <c r="BZ227" s="39"/>
      <c r="CA227" s="39"/>
      <c r="CG227" s="39"/>
      <c r="CH227" s="39"/>
      <c r="CI227" s="39"/>
    </row>
    <row r="228" spans="2:87" ht="15.75" customHeight="1">
      <c r="B228" s="2"/>
      <c r="C228" s="10"/>
      <c r="F228" s="39"/>
      <c r="G228" s="39"/>
      <c r="H228" s="39"/>
      <c r="I228" s="39"/>
      <c r="M228" s="39"/>
      <c r="N228" s="39"/>
      <c r="O228" s="39"/>
      <c r="U228" s="39"/>
      <c r="V228" s="39"/>
      <c r="W228" s="39"/>
      <c r="AC228" s="39"/>
      <c r="AD228" s="39"/>
      <c r="AE228" s="39"/>
      <c r="AK228" s="39"/>
      <c r="AL228" s="39"/>
      <c r="AM228" s="39"/>
      <c r="AS228" s="39"/>
      <c r="AT228" s="39"/>
      <c r="AU228" s="39"/>
      <c r="AZ228" s="40"/>
      <c r="BA228" s="39"/>
      <c r="BB228" s="39"/>
      <c r="BC228" s="39"/>
      <c r="BI228" s="39"/>
      <c r="BJ228" s="39"/>
      <c r="BK228" s="39"/>
      <c r="BQ228" s="39"/>
      <c r="BR228" s="39"/>
      <c r="BS228" s="39"/>
      <c r="BY228" s="39"/>
      <c r="BZ228" s="39"/>
      <c r="CA228" s="39"/>
      <c r="CG228" s="39"/>
      <c r="CH228" s="39"/>
      <c r="CI228" s="39"/>
    </row>
    <row r="229" spans="2:87" ht="15.75" customHeight="1">
      <c r="B229" s="2"/>
      <c r="C229" s="10"/>
      <c r="F229" s="39"/>
      <c r="G229" s="39"/>
      <c r="H229" s="39"/>
      <c r="I229" s="39"/>
      <c r="M229" s="39"/>
      <c r="N229" s="39"/>
      <c r="O229" s="39"/>
      <c r="U229" s="39"/>
      <c r="V229" s="39"/>
      <c r="W229" s="39"/>
      <c r="AC229" s="39"/>
      <c r="AD229" s="39"/>
      <c r="AE229" s="39"/>
      <c r="AK229" s="39"/>
      <c r="AL229" s="39"/>
      <c r="AM229" s="39"/>
      <c r="AS229" s="39"/>
      <c r="AT229" s="39"/>
      <c r="AU229" s="39"/>
      <c r="AZ229" s="40"/>
      <c r="BA229" s="39"/>
      <c r="BB229" s="39"/>
      <c r="BC229" s="39"/>
      <c r="BI229" s="39"/>
      <c r="BJ229" s="39"/>
      <c r="BK229" s="39"/>
      <c r="BQ229" s="39"/>
      <c r="BR229" s="39"/>
      <c r="BS229" s="39"/>
      <c r="BY229" s="39"/>
      <c r="BZ229" s="39"/>
      <c r="CA229" s="39"/>
      <c r="CG229" s="39"/>
      <c r="CH229" s="39"/>
      <c r="CI229" s="39"/>
    </row>
    <row r="230" spans="2:87" ht="15.75" customHeight="1">
      <c r="B230" s="2"/>
      <c r="C230" s="10"/>
      <c r="F230" s="39"/>
      <c r="G230" s="39"/>
      <c r="H230" s="39"/>
      <c r="I230" s="39"/>
      <c r="M230" s="39"/>
      <c r="N230" s="39"/>
      <c r="O230" s="39"/>
      <c r="U230" s="39"/>
      <c r="V230" s="39"/>
      <c r="W230" s="39"/>
      <c r="AC230" s="39"/>
      <c r="AD230" s="39"/>
      <c r="AE230" s="39"/>
      <c r="AK230" s="39"/>
      <c r="AL230" s="39"/>
      <c r="AM230" s="39"/>
      <c r="AS230" s="39"/>
      <c r="AT230" s="39"/>
      <c r="AU230" s="39"/>
      <c r="AZ230" s="40"/>
      <c r="BA230" s="39"/>
      <c r="BB230" s="39"/>
      <c r="BC230" s="39"/>
      <c r="BI230" s="39"/>
      <c r="BJ230" s="39"/>
      <c r="BK230" s="39"/>
      <c r="BQ230" s="39"/>
      <c r="BR230" s="39"/>
      <c r="BS230" s="39"/>
      <c r="BY230" s="39"/>
      <c r="BZ230" s="39"/>
      <c r="CA230" s="39"/>
      <c r="CG230" s="39"/>
      <c r="CH230" s="39"/>
      <c r="CI230" s="39"/>
    </row>
    <row r="231" spans="2:87" ht="15.75" customHeight="1">
      <c r="B231" s="2"/>
      <c r="C231" s="10"/>
      <c r="F231" s="39"/>
      <c r="G231" s="39"/>
      <c r="H231" s="39"/>
      <c r="I231" s="39"/>
      <c r="M231" s="39"/>
      <c r="N231" s="39"/>
      <c r="O231" s="39"/>
      <c r="U231" s="39"/>
      <c r="V231" s="39"/>
      <c r="W231" s="39"/>
      <c r="AC231" s="39"/>
      <c r="AD231" s="39"/>
      <c r="AE231" s="39"/>
      <c r="AK231" s="39"/>
      <c r="AL231" s="39"/>
      <c r="AM231" s="39"/>
      <c r="AS231" s="39"/>
      <c r="AT231" s="39"/>
      <c r="AU231" s="39"/>
      <c r="AZ231" s="40"/>
      <c r="BA231" s="39"/>
      <c r="BB231" s="39"/>
      <c r="BC231" s="39"/>
      <c r="BI231" s="39"/>
      <c r="BJ231" s="39"/>
      <c r="BK231" s="39"/>
      <c r="BQ231" s="39"/>
      <c r="BR231" s="39"/>
      <c r="BS231" s="39"/>
      <c r="BY231" s="39"/>
      <c r="BZ231" s="39"/>
      <c r="CA231" s="39"/>
      <c r="CG231" s="39"/>
      <c r="CH231" s="39"/>
      <c r="CI231" s="39"/>
    </row>
    <row r="232" spans="2:87" ht="15.75" customHeight="1">
      <c r="B232" s="2"/>
      <c r="C232" s="10"/>
      <c r="F232" s="39"/>
      <c r="G232" s="39"/>
      <c r="H232" s="39"/>
      <c r="I232" s="39"/>
      <c r="M232" s="39"/>
      <c r="N232" s="39"/>
      <c r="O232" s="39"/>
      <c r="U232" s="39"/>
      <c r="V232" s="39"/>
      <c r="W232" s="39"/>
      <c r="AC232" s="39"/>
      <c r="AD232" s="39"/>
      <c r="AE232" s="39"/>
      <c r="AK232" s="39"/>
      <c r="AL232" s="39"/>
      <c r="AM232" s="39"/>
      <c r="AS232" s="39"/>
      <c r="AT232" s="39"/>
      <c r="AU232" s="39"/>
      <c r="AZ232" s="40"/>
      <c r="BA232" s="39"/>
      <c r="BB232" s="39"/>
      <c r="BC232" s="39"/>
      <c r="BI232" s="39"/>
      <c r="BJ232" s="39"/>
      <c r="BK232" s="39"/>
      <c r="BQ232" s="39"/>
      <c r="BR232" s="39"/>
      <c r="BS232" s="39"/>
      <c r="BY232" s="39"/>
      <c r="BZ232" s="39"/>
      <c r="CA232" s="39"/>
      <c r="CG232" s="39"/>
      <c r="CH232" s="39"/>
      <c r="CI232" s="39"/>
    </row>
    <row r="233" spans="2:87" ht="15.75" customHeight="1">
      <c r="B233" s="2"/>
      <c r="C233" s="10"/>
      <c r="F233" s="39"/>
      <c r="G233" s="39"/>
      <c r="H233" s="39"/>
      <c r="I233" s="39"/>
      <c r="M233" s="39"/>
      <c r="N233" s="39"/>
      <c r="O233" s="39"/>
      <c r="U233" s="39"/>
      <c r="V233" s="39"/>
      <c r="W233" s="39"/>
      <c r="AC233" s="39"/>
      <c r="AD233" s="39"/>
      <c r="AE233" s="39"/>
      <c r="AK233" s="39"/>
      <c r="AL233" s="39"/>
      <c r="AM233" s="39"/>
      <c r="AS233" s="39"/>
      <c r="AT233" s="39"/>
      <c r="AU233" s="39"/>
      <c r="AZ233" s="40"/>
      <c r="BA233" s="39"/>
      <c r="BB233" s="39"/>
      <c r="BC233" s="39"/>
      <c r="BI233" s="39"/>
      <c r="BJ233" s="39"/>
      <c r="BK233" s="39"/>
      <c r="BQ233" s="39"/>
      <c r="BR233" s="39"/>
      <c r="BS233" s="39"/>
      <c r="BY233" s="39"/>
      <c r="BZ233" s="39"/>
      <c r="CA233" s="39"/>
      <c r="CG233" s="39"/>
      <c r="CH233" s="39"/>
      <c r="CI233" s="39"/>
    </row>
    <row r="234" spans="2:87" ht="15.75" customHeight="1">
      <c r="B234" s="2"/>
      <c r="C234" s="10"/>
      <c r="F234" s="39"/>
      <c r="G234" s="39"/>
      <c r="H234" s="39"/>
      <c r="I234" s="39"/>
      <c r="M234" s="39"/>
      <c r="N234" s="39"/>
      <c r="O234" s="39"/>
      <c r="U234" s="39"/>
      <c r="V234" s="39"/>
      <c r="W234" s="39"/>
      <c r="AC234" s="39"/>
      <c r="AD234" s="39"/>
      <c r="AE234" s="39"/>
      <c r="AK234" s="39"/>
      <c r="AL234" s="39"/>
      <c r="AM234" s="39"/>
      <c r="AS234" s="39"/>
      <c r="AT234" s="39"/>
      <c r="AU234" s="39"/>
      <c r="AZ234" s="40"/>
      <c r="BA234" s="39"/>
      <c r="BB234" s="39"/>
      <c r="BC234" s="39"/>
      <c r="BI234" s="39"/>
      <c r="BJ234" s="39"/>
      <c r="BK234" s="39"/>
      <c r="BQ234" s="39"/>
      <c r="BR234" s="39"/>
      <c r="BS234" s="39"/>
      <c r="BY234" s="39"/>
      <c r="BZ234" s="39"/>
      <c r="CA234" s="39"/>
      <c r="CG234" s="39"/>
      <c r="CH234" s="39"/>
      <c r="CI234" s="39"/>
    </row>
    <row r="235" spans="2:87" ht="15.75" customHeight="1">
      <c r="B235" s="2"/>
      <c r="C235" s="10"/>
      <c r="F235" s="39"/>
      <c r="G235" s="39"/>
      <c r="H235" s="39"/>
      <c r="I235" s="39"/>
      <c r="M235" s="39"/>
      <c r="N235" s="39"/>
      <c r="O235" s="39"/>
      <c r="U235" s="39"/>
      <c r="V235" s="39"/>
      <c r="W235" s="39"/>
      <c r="AC235" s="39"/>
      <c r="AD235" s="39"/>
      <c r="AE235" s="39"/>
      <c r="AK235" s="39"/>
      <c r="AL235" s="39"/>
      <c r="AM235" s="39"/>
      <c r="AS235" s="39"/>
      <c r="AT235" s="39"/>
      <c r="AU235" s="39"/>
      <c r="AZ235" s="40"/>
      <c r="BA235" s="39"/>
      <c r="BB235" s="39"/>
      <c r="BC235" s="39"/>
      <c r="BI235" s="39"/>
      <c r="BJ235" s="39"/>
      <c r="BK235" s="39"/>
      <c r="BQ235" s="39"/>
      <c r="BR235" s="39"/>
      <c r="BS235" s="39"/>
      <c r="BY235" s="39"/>
      <c r="BZ235" s="39"/>
      <c r="CA235" s="39"/>
      <c r="CG235" s="39"/>
      <c r="CH235" s="39"/>
      <c r="CI235" s="39"/>
    </row>
    <row r="236" spans="2:87" ht="15.75" customHeight="1">
      <c r="B236" s="2"/>
      <c r="C236" s="10"/>
      <c r="F236" s="39"/>
      <c r="G236" s="39"/>
      <c r="H236" s="39"/>
      <c r="I236" s="39"/>
      <c r="M236" s="39"/>
      <c r="N236" s="39"/>
      <c r="O236" s="39"/>
      <c r="U236" s="39"/>
      <c r="V236" s="39"/>
      <c r="W236" s="39"/>
      <c r="AC236" s="39"/>
      <c r="AD236" s="39"/>
      <c r="AE236" s="39"/>
      <c r="AK236" s="39"/>
      <c r="AL236" s="39"/>
      <c r="AM236" s="39"/>
      <c r="AS236" s="39"/>
      <c r="AT236" s="39"/>
      <c r="AU236" s="39"/>
      <c r="AZ236" s="40"/>
      <c r="BA236" s="39"/>
      <c r="BB236" s="39"/>
      <c r="BC236" s="39"/>
      <c r="BI236" s="39"/>
      <c r="BJ236" s="39"/>
      <c r="BK236" s="39"/>
      <c r="BQ236" s="39"/>
      <c r="BR236" s="39"/>
      <c r="BS236" s="39"/>
      <c r="BY236" s="39"/>
      <c r="BZ236" s="39"/>
      <c r="CA236" s="39"/>
      <c r="CG236" s="39"/>
      <c r="CH236" s="39"/>
      <c r="CI236" s="39"/>
    </row>
    <row r="237" spans="2:87" ht="15.75" customHeight="1">
      <c r="B237" s="2"/>
      <c r="C237" s="10"/>
      <c r="F237" s="39"/>
      <c r="G237" s="39"/>
      <c r="H237" s="39"/>
      <c r="I237" s="39"/>
      <c r="M237" s="39"/>
      <c r="N237" s="39"/>
      <c r="O237" s="39"/>
      <c r="U237" s="39"/>
      <c r="V237" s="39"/>
      <c r="W237" s="39"/>
      <c r="AC237" s="39"/>
      <c r="AD237" s="39"/>
      <c r="AE237" s="39"/>
      <c r="AK237" s="39"/>
      <c r="AL237" s="39"/>
      <c r="AM237" s="39"/>
      <c r="AS237" s="39"/>
      <c r="AT237" s="39"/>
      <c r="AU237" s="39"/>
      <c r="AZ237" s="40"/>
      <c r="BA237" s="39"/>
      <c r="BB237" s="39"/>
      <c r="BC237" s="39"/>
      <c r="BI237" s="39"/>
      <c r="BJ237" s="39"/>
      <c r="BK237" s="39"/>
      <c r="BQ237" s="39"/>
      <c r="BR237" s="39"/>
      <c r="BS237" s="39"/>
      <c r="BY237" s="39"/>
      <c r="BZ237" s="39"/>
      <c r="CA237" s="39"/>
      <c r="CG237" s="39"/>
      <c r="CH237" s="39"/>
      <c r="CI237" s="39"/>
    </row>
    <row r="238" spans="2:87" ht="15.75" customHeight="1">
      <c r="B238" s="2"/>
      <c r="C238" s="10"/>
      <c r="F238" s="39"/>
      <c r="G238" s="39"/>
      <c r="H238" s="39"/>
      <c r="I238" s="39"/>
      <c r="M238" s="39"/>
      <c r="N238" s="39"/>
      <c r="O238" s="39"/>
      <c r="U238" s="39"/>
      <c r="V238" s="39"/>
      <c r="W238" s="39"/>
      <c r="AC238" s="39"/>
      <c r="AD238" s="39"/>
      <c r="AE238" s="39"/>
      <c r="AK238" s="39"/>
      <c r="AL238" s="39"/>
      <c r="AM238" s="39"/>
      <c r="AS238" s="39"/>
      <c r="AT238" s="39"/>
      <c r="AU238" s="39"/>
      <c r="AZ238" s="40"/>
      <c r="BA238" s="39"/>
      <c r="BB238" s="39"/>
      <c r="BC238" s="39"/>
      <c r="BI238" s="39"/>
      <c r="BJ238" s="39"/>
      <c r="BK238" s="39"/>
      <c r="BQ238" s="39"/>
      <c r="BR238" s="39"/>
      <c r="BS238" s="39"/>
      <c r="BY238" s="39"/>
      <c r="BZ238" s="39"/>
      <c r="CA238" s="39"/>
      <c r="CG238" s="39"/>
      <c r="CH238" s="39"/>
      <c r="CI238" s="39"/>
    </row>
    <row r="239" spans="2:87" ht="15.75" customHeight="1">
      <c r="B239" s="2"/>
      <c r="C239" s="10"/>
      <c r="F239" s="39"/>
      <c r="G239" s="39"/>
      <c r="H239" s="39"/>
      <c r="I239" s="39"/>
      <c r="M239" s="39"/>
      <c r="N239" s="39"/>
      <c r="O239" s="39"/>
      <c r="U239" s="39"/>
      <c r="V239" s="39"/>
      <c r="W239" s="39"/>
      <c r="AC239" s="39"/>
      <c r="AD239" s="39"/>
      <c r="AE239" s="39"/>
      <c r="AK239" s="39"/>
      <c r="AL239" s="39"/>
      <c r="AM239" s="39"/>
      <c r="AS239" s="39"/>
      <c r="AT239" s="39"/>
      <c r="AU239" s="39"/>
      <c r="AZ239" s="40"/>
      <c r="BA239" s="39"/>
      <c r="BB239" s="39"/>
      <c r="BC239" s="39"/>
      <c r="BI239" s="39"/>
      <c r="BJ239" s="39"/>
      <c r="BK239" s="39"/>
      <c r="BQ239" s="39"/>
      <c r="BR239" s="39"/>
      <c r="BS239" s="39"/>
      <c r="BY239" s="39"/>
      <c r="BZ239" s="39"/>
      <c r="CA239" s="39"/>
      <c r="CG239" s="39"/>
      <c r="CH239" s="39"/>
      <c r="CI239" s="39"/>
    </row>
    <row r="240" spans="2:87" ht="15.75" customHeight="1">
      <c r="B240" s="2"/>
      <c r="C240" s="10"/>
      <c r="F240" s="39"/>
      <c r="G240" s="39"/>
      <c r="H240" s="39"/>
      <c r="I240" s="39"/>
      <c r="M240" s="39"/>
      <c r="N240" s="39"/>
      <c r="O240" s="39"/>
      <c r="U240" s="39"/>
      <c r="V240" s="39"/>
      <c r="W240" s="39"/>
      <c r="AC240" s="39"/>
      <c r="AD240" s="39"/>
      <c r="AE240" s="39"/>
      <c r="AK240" s="39"/>
      <c r="AL240" s="39"/>
      <c r="AM240" s="39"/>
      <c r="AS240" s="39"/>
      <c r="AT240" s="39"/>
      <c r="AU240" s="39"/>
      <c r="AZ240" s="40"/>
      <c r="BA240" s="39"/>
      <c r="BB240" s="39"/>
      <c r="BC240" s="39"/>
      <c r="BI240" s="39"/>
      <c r="BJ240" s="39"/>
      <c r="BK240" s="39"/>
      <c r="BQ240" s="39"/>
      <c r="BR240" s="39"/>
      <c r="BS240" s="39"/>
      <c r="BY240" s="39"/>
      <c r="BZ240" s="39"/>
      <c r="CA240" s="39"/>
      <c r="CG240" s="39"/>
      <c r="CH240" s="39"/>
      <c r="CI240" s="39"/>
    </row>
    <row r="241" spans="2:87" ht="15.75" customHeight="1">
      <c r="B241" s="2"/>
      <c r="C241" s="10"/>
      <c r="F241" s="39"/>
      <c r="G241" s="39"/>
      <c r="H241" s="39"/>
      <c r="I241" s="39"/>
      <c r="M241" s="39"/>
      <c r="N241" s="39"/>
      <c r="O241" s="39"/>
      <c r="U241" s="39"/>
      <c r="V241" s="39"/>
      <c r="W241" s="39"/>
      <c r="AC241" s="39"/>
      <c r="AD241" s="39"/>
      <c r="AE241" s="39"/>
      <c r="AK241" s="39"/>
      <c r="AL241" s="39"/>
      <c r="AM241" s="39"/>
      <c r="AS241" s="39"/>
      <c r="AT241" s="39"/>
      <c r="AU241" s="39"/>
      <c r="AZ241" s="40"/>
      <c r="BA241" s="39"/>
      <c r="BB241" s="39"/>
      <c r="BC241" s="39"/>
      <c r="BI241" s="39"/>
      <c r="BJ241" s="39"/>
      <c r="BK241" s="39"/>
      <c r="BQ241" s="39"/>
      <c r="BR241" s="39"/>
      <c r="BS241" s="39"/>
      <c r="BY241" s="39"/>
      <c r="BZ241" s="39"/>
      <c r="CA241" s="39"/>
      <c r="CG241" s="39"/>
      <c r="CH241" s="39"/>
      <c r="CI241" s="39"/>
    </row>
    <row r="242" spans="2:87" ht="15.75" customHeight="1">
      <c r="B242" s="2"/>
      <c r="C242" s="10"/>
      <c r="F242" s="39"/>
      <c r="G242" s="39"/>
      <c r="H242" s="39"/>
      <c r="I242" s="39"/>
      <c r="M242" s="39"/>
      <c r="N242" s="39"/>
      <c r="O242" s="39"/>
      <c r="U242" s="39"/>
      <c r="V242" s="39"/>
      <c r="W242" s="39"/>
      <c r="AC242" s="39"/>
      <c r="AD242" s="39"/>
      <c r="AE242" s="39"/>
      <c r="AK242" s="39"/>
      <c r="AL242" s="39"/>
      <c r="AM242" s="39"/>
      <c r="AS242" s="39"/>
      <c r="AT242" s="39"/>
      <c r="AU242" s="39"/>
      <c r="AZ242" s="40"/>
      <c r="BA242" s="39"/>
      <c r="BB242" s="39"/>
      <c r="BC242" s="39"/>
      <c r="BI242" s="39"/>
      <c r="BJ242" s="39"/>
      <c r="BK242" s="39"/>
      <c r="BQ242" s="39"/>
      <c r="BR242" s="39"/>
      <c r="BS242" s="39"/>
      <c r="BY242" s="39"/>
      <c r="BZ242" s="39"/>
      <c r="CA242" s="39"/>
      <c r="CG242" s="39"/>
      <c r="CH242" s="39"/>
      <c r="CI242" s="39"/>
    </row>
    <row r="243" spans="2:87" ht="15.75" customHeight="1">
      <c r="B243" s="2"/>
      <c r="C243" s="10"/>
      <c r="F243" s="39"/>
      <c r="G243" s="39"/>
      <c r="H243" s="39"/>
      <c r="I243" s="39"/>
      <c r="M243" s="39"/>
      <c r="N243" s="39"/>
      <c r="O243" s="39"/>
      <c r="U243" s="39"/>
      <c r="V243" s="39"/>
      <c r="W243" s="39"/>
      <c r="AC243" s="39"/>
      <c r="AD243" s="39"/>
      <c r="AE243" s="39"/>
      <c r="AK243" s="39"/>
      <c r="AL243" s="39"/>
      <c r="AM243" s="39"/>
      <c r="AS243" s="39"/>
      <c r="AT243" s="39"/>
      <c r="AU243" s="39"/>
      <c r="AZ243" s="40"/>
      <c r="BA243" s="39"/>
      <c r="BB243" s="39"/>
      <c r="BC243" s="39"/>
      <c r="BI243" s="39"/>
      <c r="BJ243" s="39"/>
      <c r="BK243" s="39"/>
      <c r="BQ243" s="39"/>
      <c r="BR243" s="39"/>
      <c r="BS243" s="39"/>
      <c r="BY243" s="39"/>
      <c r="BZ243" s="39"/>
      <c r="CA243" s="39"/>
      <c r="CG243" s="39"/>
      <c r="CH243" s="39"/>
      <c r="CI243" s="39"/>
    </row>
    <row r="244" spans="2:87" ht="15.75" customHeight="1">
      <c r="B244" s="2"/>
      <c r="C244" s="10"/>
      <c r="F244" s="39"/>
      <c r="G244" s="39"/>
      <c r="H244" s="39"/>
      <c r="I244" s="39"/>
      <c r="M244" s="39"/>
      <c r="N244" s="39"/>
      <c r="O244" s="39"/>
      <c r="U244" s="39"/>
      <c r="V244" s="39"/>
      <c r="W244" s="39"/>
      <c r="AC244" s="39"/>
      <c r="AD244" s="39"/>
      <c r="AE244" s="39"/>
      <c r="AK244" s="39"/>
      <c r="AL244" s="39"/>
      <c r="AM244" s="39"/>
      <c r="AS244" s="39"/>
      <c r="AT244" s="39"/>
      <c r="AU244" s="39"/>
      <c r="AZ244" s="40"/>
      <c r="BA244" s="39"/>
      <c r="BB244" s="39"/>
      <c r="BC244" s="39"/>
      <c r="BI244" s="39"/>
      <c r="BJ244" s="39"/>
      <c r="BK244" s="39"/>
      <c r="BQ244" s="39"/>
      <c r="BR244" s="39"/>
      <c r="BS244" s="39"/>
      <c r="BY244" s="39"/>
      <c r="BZ244" s="39"/>
      <c r="CA244" s="39"/>
      <c r="CG244" s="39"/>
      <c r="CH244" s="39"/>
      <c r="CI244" s="39"/>
    </row>
    <row r="245" spans="2:87" ht="15.75" customHeight="1">
      <c r="B245" s="2"/>
      <c r="C245" s="10"/>
      <c r="F245" s="39"/>
      <c r="G245" s="39"/>
      <c r="H245" s="39"/>
      <c r="I245" s="39"/>
      <c r="M245" s="39"/>
      <c r="N245" s="39"/>
      <c r="O245" s="39"/>
      <c r="U245" s="39"/>
      <c r="V245" s="39"/>
      <c r="W245" s="39"/>
      <c r="AC245" s="39"/>
      <c r="AD245" s="39"/>
      <c r="AE245" s="39"/>
      <c r="AK245" s="39"/>
      <c r="AL245" s="39"/>
      <c r="AM245" s="39"/>
      <c r="AS245" s="39"/>
      <c r="AT245" s="39"/>
      <c r="AU245" s="39"/>
      <c r="AZ245" s="40"/>
      <c r="BA245" s="39"/>
      <c r="BB245" s="39"/>
      <c r="BC245" s="39"/>
      <c r="BI245" s="39"/>
      <c r="BJ245" s="39"/>
      <c r="BK245" s="39"/>
      <c r="BQ245" s="39"/>
      <c r="BR245" s="39"/>
      <c r="BS245" s="39"/>
      <c r="BY245" s="39"/>
      <c r="BZ245" s="39"/>
      <c r="CA245" s="39"/>
      <c r="CG245" s="39"/>
      <c r="CH245" s="39"/>
      <c r="CI245" s="39"/>
    </row>
    <row r="246" spans="2:87" ht="15.75" customHeight="1">
      <c r="B246" s="2"/>
      <c r="C246" s="10"/>
      <c r="F246" s="39"/>
      <c r="G246" s="39"/>
      <c r="H246" s="39"/>
      <c r="I246" s="39"/>
      <c r="M246" s="39"/>
      <c r="N246" s="39"/>
      <c r="O246" s="39"/>
      <c r="U246" s="39"/>
      <c r="V246" s="39"/>
      <c r="W246" s="39"/>
      <c r="AC246" s="39"/>
      <c r="AD246" s="39"/>
      <c r="AE246" s="39"/>
      <c r="AK246" s="39"/>
      <c r="AL246" s="39"/>
      <c r="AM246" s="39"/>
      <c r="AS246" s="39"/>
      <c r="AT246" s="39"/>
      <c r="AU246" s="39"/>
      <c r="AZ246" s="40"/>
      <c r="BA246" s="39"/>
      <c r="BB246" s="39"/>
      <c r="BC246" s="39"/>
      <c r="BI246" s="39"/>
      <c r="BJ246" s="39"/>
      <c r="BK246" s="39"/>
      <c r="BQ246" s="39"/>
      <c r="BR246" s="39"/>
      <c r="BS246" s="39"/>
      <c r="BY246" s="39"/>
      <c r="BZ246" s="39"/>
      <c r="CA246" s="39"/>
      <c r="CG246" s="39"/>
      <c r="CH246" s="39"/>
      <c r="CI246" s="39"/>
    </row>
    <row r="247" spans="2:87" ht="15.75" customHeight="1">
      <c r="B247" s="2"/>
      <c r="C247" s="10"/>
      <c r="F247" s="39"/>
      <c r="G247" s="39"/>
      <c r="H247" s="39"/>
      <c r="I247" s="39"/>
      <c r="M247" s="39"/>
      <c r="N247" s="39"/>
      <c r="O247" s="39"/>
      <c r="U247" s="39"/>
      <c r="V247" s="39"/>
      <c r="W247" s="39"/>
      <c r="AC247" s="39"/>
      <c r="AD247" s="39"/>
      <c r="AE247" s="39"/>
      <c r="AK247" s="39"/>
      <c r="AL247" s="39"/>
      <c r="AM247" s="39"/>
      <c r="AS247" s="39"/>
      <c r="AT247" s="39"/>
      <c r="AU247" s="39"/>
      <c r="AZ247" s="40"/>
      <c r="BA247" s="39"/>
      <c r="BB247" s="39"/>
      <c r="BC247" s="39"/>
      <c r="BI247" s="39"/>
      <c r="BJ247" s="39"/>
      <c r="BK247" s="39"/>
      <c r="BQ247" s="39"/>
      <c r="BR247" s="39"/>
      <c r="BS247" s="39"/>
      <c r="BY247" s="39"/>
      <c r="BZ247" s="39"/>
      <c r="CA247" s="39"/>
      <c r="CG247" s="39"/>
      <c r="CH247" s="39"/>
      <c r="CI247" s="39"/>
    </row>
    <row r="248" spans="2:87" ht="15.75" customHeight="1">
      <c r="B248" s="2"/>
      <c r="C248" s="10"/>
      <c r="F248" s="39"/>
      <c r="G248" s="39"/>
      <c r="H248" s="39"/>
      <c r="I248" s="39"/>
      <c r="M248" s="39"/>
      <c r="N248" s="39"/>
      <c r="O248" s="39"/>
      <c r="U248" s="39"/>
      <c r="V248" s="39"/>
      <c r="W248" s="39"/>
      <c r="AC248" s="39"/>
      <c r="AD248" s="39"/>
      <c r="AE248" s="39"/>
      <c r="AK248" s="39"/>
      <c r="AL248" s="39"/>
      <c r="AM248" s="39"/>
      <c r="AS248" s="39"/>
      <c r="AT248" s="39"/>
      <c r="AU248" s="39"/>
      <c r="AZ248" s="40"/>
      <c r="BA248" s="39"/>
      <c r="BB248" s="39"/>
      <c r="BC248" s="39"/>
      <c r="BI248" s="39"/>
      <c r="BJ248" s="39"/>
      <c r="BK248" s="39"/>
      <c r="BQ248" s="39"/>
      <c r="BR248" s="39"/>
      <c r="BS248" s="39"/>
      <c r="BY248" s="39"/>
      <c r="BZ248" s="39"/>
      <c r="CA248" s="39"/>
      <c r="CG248" s="39"/>
      <c r="CH248" s="39"/>
      <c r="CI248" s="39"/>
    </row>
    <row r="249" spans="2:87" ht="15.75" customHeight="1">
      <c r="B249" s="2"/>
      <c r="C249" s="10"/>
      <c r="F249" s="39"/>
      <c r="G249" s="39"/>
      <c r="H249" s="39"/>
      <c r="I249" s="39"/>
      <c r="M249" s="39"/>
      <c r="N249" s="39"/>
      <c r="O249" s="39"/>
      <c r="U249" s="39"/>
      <c r="V249" s="39"/>
      <c r="W249" s="39"/>
      <c r="AC249" s="39"/>
      <c r="AD249" s="39"/>
      <c r="AE249" s="39"/>
      <c r="AK249" s="39"/>
      <c r="AL249" s="39"/>
      <c r="AM249" s="39"/>
      <c r="AS249" s="39"/>
      <c r="AT249" s="39"/>
      <c r="AU249" s="39"/>
      <c r="AZ249" s="40"/>
      <c r="BA249" s="39"/>
      <c r="BB249" s="39"/>
      <c r="BC249" s="39"/>
      <c r="BI249" s="39"/>
      <c r="BJ249" s="39"/>
      <c r="BK249" s="39"/>
      <c r="BQ249" s="39"/>
      <c r="BR249" s="39"/>
      <c r="BS249" s="39"/>
      <c r="BY249" s="39"/>
      <c r="BZ249" s="39"/>
      <c r="CA249" s="39"/>
      <c r="CG249" s="39"/>
      <c r="CH249" s="39"/>
      <c r="CI249" s="39"/>
    </row>
    <row r="250" spans="2:87" ht="15.75" customHeight="1">
      <c r="B250" s="2"/>
      <c r="C250" s="10"/>
      <c r="F250" s="39"/>
      <c r="G250" s="39"/>
      <c r="H250" s="39"/>
      <c r="I250" s="39"/>
      <c r="M250" s="39"/>
      <c r="N250" s="39"/>
      <c r="O250" s="39"/>
      <c r="U250" s="39"/>
      <c r="V250" s="39"/>
      <c r="W250" s="39"/>
      <c r="AC250" s="39"/>
      <c r="AD250" s="39"/>
      <c r="AE250" s="39"/>
      <c r="AK250" s="39"/>
      <c r="AL250" s="39"/>
      <c r="AM250" s="39"/>
      <c r="AS250" s="39"/>
      <c r="AT250" s="39"/>
      <c r="AU250" s="39"/>
      <c r="AZ250" s="40"/>
      <c r="BA250" s="39"/>
      <c r="BB250" s="39"/>
      <c r="BC250" s="39"/>
      <c r="BI250" s="39"/>
      <c r="BJ250" s="39"/>
      <c r="BK250" s="39"/>
      <c r="BQ250" s="39"/>
      <c r="BR250" s="39"/>
      <c r="BS250" s="39"/>
      <c r="BY250" s="39"/>
      <c r="BZ250" s="39"/>
      <c r="CA250" s="39"/>
      <c r="CG250" s="39"/>
      <c r="CH250" s="39"/>
      <c r="CI250" s="39"/>
    </row>
    <row r="251" spans="2:87" ht="15.75" customHeight="1">
      <c r="B251" s="2"/>
      <c r="C251" s="10"/>
      <c r="F251" s="39"/>
      <c r="G251" s="39"/>
      <c r="H251" s="39"/>
      <c r="I251" s="39"/>
      <c r="M251" s="39"/>
      <c r="N251" s="39"/>
      <c r="O251" s="39"/>
      <c r="U251" s="39"/>
      <c r="V251" s="39"/>
      <c r="W251" s="39"/>
      <c r="AC251" s="39"/>
      <c r="AD251" s="39"/>
      <c r="AE251" s="39"/>
      <c r="AK251" s="39"/>
      <c r="AL251" s="39"/>
      <c r="AM251" s="39"/>
      <c r="AS251" s="39"/>
      <c r="AT251" s="39"/>
      <c r="AU251" s="39"/>
      <c r="AZ251" s="40"/>
      <c r="BA251" s="39"/>
      <c r="BB251" s="39"/>
      <c r="BC251" s="39"/>
      <c r="BI251" s="39"/>
      <c r="BJ251" s="39"/>
      <c r="BK251" s="39"/>
      <c r="BQ251" s="39"/>
      <c r="BR251" s="39"/>
      <c r="BS251" s="39"/>
      <c r="BY251" s="39"/>
      <c r="BZ251" s="39"/>
      <c r="CA251" s="39"/>
      <c r="CG251" s="39"/>
      <c r="CH251" s="39"/>
      <c r="CI251" s="39"/>
    </row>
    <row r="252" spans="2:87" ht="15.75" customHeight="1">
      <c r="B252" s="2"/>
      <c r="C252" s="10"/>
      <c r="F252" s="39"/>
      <c r="G252" s="39"/>
      <c r="H252" s="39"/>
      <c r="I252" s="39"/>
      <c r="M252" s="39"/>
      <c r="N252" s="39"/>
      <c r="O252" s="39"/>
      <c r="U252" s="39"/>
      <c r="V252" s="39"/>
      <c r="W252" s="39"/>
      <c r="AC252" s="39"/>
      <c r="AD252" s="39"/>
      <c r="AE252" s="39"/>
      <c r="AK252" s="39"/>
      <c r="AL252" s="39"/>
      <c r="AM252" s="39"/>
      <c r="AS252" s="39"/>
      <c r="AT252" s="39"/>
      <c r="AU252" s="39"/>
      <c r="AZ252" s="40"/>
      <c r="BA252" s="39"/>
      <c r="BB252" s="39"/>
      <c r="BC252" s="39"/>
      <c r="BI252" s="39"/>
      <c r="BJ252" s="39"/>
      <c r="BK252" s="39"/>
      <c r="BQ252" s="39"/>
      <c r="BR252" s="39"/>
      <c r="BS252" s="39"/>
      <c r="BY252" s="39"/>
      <c r="BZ252" s="39"/>
      <c r="CA252" s="39"/>
      <c r="CG252" s="39"/>
      <c r="CH252" s="39"/>
      <c r="CI252" s="39"/>
    </row>
    <row r="253" spans="2:87" ht="15.75" customHeight="1">
      <c r="B253" s="2"/>
      <c r="C253" s="10"/>
      <c r="F253" s="39"/>
      <c r="G253" s="39"/>
      <c r="H253" s="39"/>
      <c r="I253" s="39"/>
      <c r="M253" s="39"/>
      <c r="N253" s="39"/>
      <c r="O253" s="39"/>
      <c r="U253" s="39"/>
      <c r="V253" s="39"/>
      <c r="W253" s="39"/>
      <c r="AC253" s="39"/>
      <c r="AD253" s="39"/>
      <c r="AE253" s="39"/>
      <c r="AK253" s="39"/>
      <c r="AL253" s="39"/>
      <c r="AM253" s="39"/>
      <c r="AS253" s="39"/>
      <c r="AT253" s="39"/>
      <c r="AU253" s="39"/>
      <c r="AZ253" s="40"/>
      <c r="BA253" s="39"/>
      <c r="BB253" s="39"/>
      <c r="BC253" s="39"/>
      <c r="BI253" s="39"/>
      <c r="BJ253" s="39"/>
      <c r="BK253" s="39"/>
      <c r="BQ253" s="39"/>
      <c r="BR253" s="39"/>
      <c r="BS253" s="39"/>
      <c r="BY253" s="39"/>
      <c r="BZ253" s="39"/>
      <c r="CA253" s="39"/>
      <c r="CG253" s="39"/>
      <c r="CH253" s="39"/>
      <c r="CI253" s="39"/>
    </row>
    <row r="254" spans="2:87" ht="15.75" customHeight="1">
      <c r="B254" s="2"/>
      <c r="C254" s="10"/>
      <c r="F254" s="39"/>
      <c r="G254" s="39"/>
      <c r="H254" s="39"/>
      <c r="I254" s="39"/>
      <c r="M254" s="39"/>
      <c r="N254" s="39"/>
      <c r="O254" s="39"/>
      <c r="U254" s="39"/>
      <c r="V254" s="39"/>
      <c r="W254" s="39"/>
      <c r="AC254" s="39"/>
      <c r="AD254" s="39"/>
      <c r="AE254" s="39"/>
      <c r="AK254" s="39"/>
      <c r="AL254" s="39"/>
      <c r="AM254" s="39"/>
      <c r="AS254" s="39"/>
      <c r="AT254" s="39"/>
      <c r="AU254" s="39"/>
      <c r="AZ254" s="40"/>
      <c r="BA254" s="39"/>
      <c r="BB254" s="39"/>
      <c r="BC254" s="39"/>
      <c r="BI254" s="39"/>
      <c r="BJ254" s="39"/>
      <c r="BK254" s="39"/>
      <c r="BQ254" s="39"/>
      <c r="BR254" s="39"/>
      <c r="BS254" s="39"/>
      <c r="BY254" s="39"/>
      <c r="BZ254" s="39"/>
      <c r="CA254" s="39"/>
      <c r="CG254" s="39"/>
      <c r="CH254" s="39"/>
      <c r="CI254" s="39"/>
    </row>
    <row r="255" spans="2:87" ht="15.75" customHeight="1">
      <c r="B255" s="2"/>
      <c r="C255" s="10"/>
      <c r="F255" s="39"/>
      <c r="G255" s="39"/>
      <c r="H255" s="39"/>
      <c r="I255" s="39"/>
      <c r="M255" s="39"/>
      <c r="N255" s="39"/>
      <c r="O255" s="39"/>
      <c r="U255" s="39"/>
      <c r="V255" s="39"/>
      <c r="W255" s="39"/>
      <c r="AC255" s="39"/>
      <c r="AD255" s="39"/>
      <c r="AE255" s="39"/>
      <c r="AK255" s="39"/>
      <c r="AL255" s="39"/>
      <c r="AM255" s="39"/>
      <c r="AS255" s="39"/>
      <c r="AT255" s="39"/>
      <c r="AU255" s="39"/>
      <c r="AZ255" s="40"/>
      <c r="BA255" s="39"/>
      <c r="BB255" s="39"/>
      <c r="BC255" s="39"/>
      <c r="BI255" s="39"/>
      <c r="BJ255" s="39"/>
      <c r="BK255" s="39"/>
      <c r="BQ255" s="39"/>
      <c r="BR255" s="39"/>
      <c r="BS255" s="39"/>
      <c r="BY255" s="39"/>
      <c r="BZ255" s="39"/>
      <c r="CA255" s="39"/>
      <c r="CG255" s="39"/>
      <c r="CH255" s="39"/>
      <c r="CI255" s="39"/>
    </row>
    <row r="256" spans="2:87" ht="15.75" customHeight="1">
      <c r="B256" s="2"/>
      <c r="C256" s="10"/>
      <c r="F256" s="39"/>
      <c r="G256" s="39"/>
      <c r="H256" s="39"/>
      <c r="I256" s="39"/>
      <c r="M256" s="39"/>
      <c r="N256" s="39"/>
      <c r="O256" s="39"/>
      <c r="U256" s="39"/>
      <c r="V256" s="39"/>
      <c r="W256" s="39"/>
      <c r="AC256" s="39"/>
      <c r="AD256" s="39"/>
      <c r="AE256" s="39"/>
      <c r="AK256" s="39"/>
      <c r="AL256" s="39"/>
      <c r="AM256" s="39"/>
      <c r="AS256" s="39"/>
      <c r="AT256" s="39"/>
      <c r="AU256" s="39"/>
      <c r="AZ256" s="40"/>
      <c r="BA256" s="39"/>
      <c r="BB256" s="39"/>
      <c r="BC256" s="39"/>
      <c r="BI256" s="39"/>
      <c r="BJ256" s="39"/>
      <c r="BK256" s="39"/>
      <c r="BQ256" s="39"/>
      <c r="BR256" s="39"/>
      <c r="BS256" s="39"/>
      <c r="BY256" s="39"/>
      <c r="BZ256" s="39"/>
      <c r="CA256" s="39"/>
      <c r="CG256" s="39"/>
      <c r="CH256" s="39"/>
      <c r="CI256" s="39"/>
    </row>
    <row r="257" spans="2:87" ht="15.75" customHeight="1">
      <c r="B257" s="2"/>
      <c r="C257" s="10"/>
      <c r="F257" s="39"/>
      <c r="G257" s="39"/>
      <c r="H257" s="39"/>
      <c r="I257" s="39"/>
      <c r="M257" s="39"/>
      <c r="N257" s="39"/>
      <c r="O257" s="39"/>
      <c r="U257" s="39"/>
      <c r="V257" s="39"/>
      <c r="W257" s="39"/>
      <c r="AC257" s="39"/>
      <c r="AD257" s="39"/>
      <c r="AE257" s="39"/>
      <c r="AK257" s="39"/>
      <c r="AL257" s="39"/>
      <c r="AM257" s="39"/>
      <c r="AS257" s="39"/>
      <c r="AT257" s="39"/>
      <c r="AU257" s="39"/>
      <c r="AZ257" s="40"/>
      <c r="BA257" s="39"/>
      <c r="BB257" s="39"/>
      <c r="BC257" s="39"/>
      <c r="BI257" s="39"/>
      <c r="BJ257" s="39"/>
      <c r="BK257" s="39"/>
      <c r="BQ257" s="39"/>
      <c r="BR257" s="39"/>
      <c r="BS257" s="39"/>
      <c r="BY257" s="39"/>
      <c r="BZ257" s="39"/>
      <c r="CA257" s="39"/>
      <c r="CG257" s="39"/>
      <c r="CH257" s="39"/>
      <c r="CI257" s="39"/>
    </row>
    <row r="258" spans="2:87" ht="15.75" customHeight="1">
      <c r="B258" s="2"/>
      <c r="C258" s="10"/>
      <c r="F258" s="39"/>
      <c r="G258" s="39"/>
      <c r="H258" s="39"/>
      <c r="I258" s="39"/>
      <c r="M258" s="39"/>
      <c r="N258" s="39"/>
      <c r="O258" s="39"/>
      <c r="U258" s="39"/>
      <c r="V258" s="39"/>
      <c r="W258" s="39"/>
      <c r="AC258" s="39"/>
      <c r="AD258" s="39"/>
      <c r="AE258" s="39"/>
      <c r="AK258" s="39"/>
      <c r="AL258" s="39"/>
      <c r="AM258" s="39"/>
      <c r="AS258" s="39"/>
      <c r="AT258" s="39"/>
      <c r="AU258" s="39"/>
      <c r="AZ258" s="40"/>
      <c r="BA258" s="39"/>
      <c r="BB258" s="39"/>
      <c r="BC258" s="39"/>
      <c r="BI258" s="39"/>
      <c r="BJ258" s="39"/>
      <c r="BK258" s="39"/>
      <c r="BQ258" s="39"/>
      <c r="BR258" s="39"/>
      <c r="BS258" s="39"/>
      <c r="BY258" s="39"/>
      <c r="BZ258" s="39"/>
      <c r="CA258" s="39"/>
      <c r="CG258" s="39"/>
      <c r="CH258" s="39"/>
      <c r="CI258" s="39"/>
    </row>
    <row r="259" spans="2:87" ht="15.75" customHeight="1">
      <c r="B259" s="2"/>
      <c r="C259" s="10"/>
      <c r="F259" s="39"/>
      <c r="G259" s="39"/>
      <c r="H259" s="39"/>
      <c r="I259" s="39"/>
      <c r="M259" s="39"/>
      <c r="N259" s="39"/>
      <c r="O259" s="39"/>
      <c r="U259" s="39"/>
      <c r="V259" s="39"/>
      <c r="W259" s="39"/>
      <c r="AC259" s="39"/>
      <c r="AD259" s="39"/>
      <c r="AE259" s="39"/>
      <c r="AK259" s="39"/>
      <c r="AL259" s="39"/>
      <c r="AM259" s="39"/>
      <c r="AS259" s="39"/>
      <c r="AT259" s="39"/>
      <c r="AU259" s="39"/>
      <c r="AZ259" s="40"/>
      <c r="BA259" s="39"/>
      <c r="BB259" s="39"/>
      <c r="BC259" s="39"/>
      <c r="BI259" s="39"/>
      <c r="BJ259" s="39"/>
      <c r="BK259" s="39"/>
      <c r="BQ259" s="39"/>
      <c r="BR259" s="39"/>
      <c r="BS259" s="39"/>
      <c r="BY259" s="39"/>
      <c r="BZ259" s="39"/>
      <c r="CA259" s="39"/>
      <c r="CG259" s="39"/>
      <c r="CH259" s="39"/>
      <c r="CI259" s="39"/>
    </row>
    <row r="260" spans="2:87" ht="15.75" customHeight="1">
      <c r="B260" s="2"/>
      <c r="C260" s="10"/>
      <c r="F260" s="39"/>
      <c r="G260" s="39"/>
      <c r="H260" s="39"/>
      <c r="I260" s="39"/>
      <c r="M260" s="39"/>
      <c r="N260" s="39"/>
      <c r="O260" s="39"/>
      <c r="U260" s="39"/>
      <c r="V260" s="39"/>
      <c r="W260" s="39"/>
      <c r="AC260" s="39"/>
      <c r="AD260" s="39"/>
      <c r="AE260" s="39"/>
      <c r="AK260" s="39"/>
      <c r="AL260" s="39"/>
      <c r="AM260" s="39"/>
      <c r="AS260" s="39"/>
      <c r="AT260" s="39"/>
      <c r="AU260" s="39"/>
      <c r="AZ260" s="40"/>
      <c r="BA260" s="39"/>
      <c r="BB260" s="39"/>
      <c r="BC260" s="39"/>
      <c r="BI260" s="39"/>
      <c r="BJ260" s="39"/>
      <c r="BK260" s="39"/>
      <c r="BQ260" s="39"/>
      <c r="BR260" s="39"/>
      <c r="BS260" s="39"/>
      <c r="BY260" s="39"/>
      <c r="BZ260" s="39"/>
      <c r="CA260" s="39"/>
      <c r="CG260" s="39"/>
      <c r="CH260" s="39"/>
      <c r="CI260" s="39"/>
    </row>
    <row r="261" spans="2:87" ht="15.75" customHeight="1">
      <c r="B261" s="2"/>
      <c r="C261" s="10"/>
      <c r="F261" s="39"/>
      <c r="G261" s="39"/>
      <c r="H261" s="39"/>
      <c r="I261" s="39"/>
      <c r="M261" s="39"/>
      <c r="N261" s="39"/>
      <c r="O261" s="39"/>
      <c r="U261" s="39"/>
      <c r="V261" s="39"/>
      <c r="W261" s="39"/>
      <c r="AC261" s="39"/>
      <c r="AD261" s="39"/>
      <c r="AE261" s="39"/>
      <c r="AK261" s="39"/>
      <c r="AL261" s="39"/>
      <c r="AM261" s="39"/>
      <c r="AS261" s="39"/>
      <c r="AT261" s="39"/>
      <c r="AU261" s="39"/>
      <c r="AZ261" s="40"/>
      <c r="BA261" s="39"/>
      <c r="BB261" s="39"/>
      <c r="BC261" s="39"/>
      <c r="BI261" s="39"/>
      <c r="BJ261" s="39"/>
      <c r="BK261" s="39"/>
      <c r="BQ261" s="39"/>
      <c r="BR261" s="39"/>
      <c r="BS261" s="39"/>
      <c r="BY261" s="39"/>
      <c r="BZ261" s="39"/>
      <c r="CA261" s="39"/>
      <c r="CG261" s="39"/>
      <c r="CH261" s="39"/>
      <c r="CI261" s="39"/>
    </row>
    <row r="262" spans="2:87" ht="15.75" customHeight="1">
      <c r="B262" s="2"/>
      <c r="C262" s="10"/>
      <c r="F262" s="39"/>
      <c r="G262" s="39"/>
      <c r="H262" s="39"/>
      <c r="I262" s="39"/>
      <c r="M262" s="39"/>
      <c r="N262" s="39"/>
      <c r="O262" s="39"/>
      <c r="U262" s="39"/>
      <c r="V262" s="39"/>
      <c r="W262" s="39"/>
      <c r="AC262" s="39"/>
      <c r="AD262" s="39"/>
      <c r="AE262" s="39"/>
      <c r="AK262" s="39"/>
      <c r="AL262" s="39"/>
      <c r="AM262" s="39"/>
      <c r="AS262" s="39"/>
      <c r="AT262" s="39"/>
      <c r="AU262" s="39"/>
      <c r="AZ262" s="40"/>
      <c r="BA262" s="39"/>
      <c r="BB262" s="39"/>
      <c r="BC262" s="39"/>
      <c r="BI262" s="39"/>
      <c r="BJ262" s="39"/>
      <c r="BK262" s="39"/>
      <c r="BQ262" s="39"/>
      <c r="BR262" s="39"/>
      <c r="BS262" s="39"/>
      <c r="BY262" s="39"/>
      <c r="BZ262" s="39"/>
      <c r="CA262" s="39"/>
      <c r="CG262" s="39"/>
      <c r="CH262" s="39"/>
      <c r="CI262" s="39"/>
    </row>
    <row r="263" spans="2:87" ht="15.75" customHeight="1">
      <c r="B263" s="2"/>
      <c r="C263" s="10"/>
      <c r="F263" s="39"/>
      <c r="G263" s="39"/>
      <c r="H263" s="39"/>
      <c r="I263" s="39"/>
      <c r="M263" s="39"/>
      <c r="N263" s="39"/>
      <c r="O263" s="39"/>
      <c r="U263" s="39"/>
      <c r="V263" s="39"/>
      <c r="W263" s="39"/>
      <c r="AC263" s="39"/>
      <c r="AD263" s="39"/>
      <c r="AE263" s="39"/>
      <c r="AK263" s="39"/>
      <c r="AL263" s="39"/>
      <c r="AM263" s="39"/>
      <c r="AS263" s="39"/>
      <c r="AT263" s="39"/>
      <c r="AU263" s="39"/>
      <c r="AZ263" s="40"/>
      <c r="BA263" s="39"/>
      <c r="BB263" s="39"/>
      <c r="BC263" s="39"/>
      <c r="BI263" s="39"/>
      <c r="BJ263" s="39"/>
      <c r="BK263" s="39"/>
      <c r="BQ263" s="39"/>
      <c r="BR263" s="39"/>
      <c r="BS263" s="39"/>
      <c r="BY263" s="39"/>
      <c r="BZ263" s="39"/>
      <c r="CA263" s="39"/>
      <c r="CG263" s="39"/>
      <c r="CH263" s="39"/>
      <c r="CI263" s="39"/>
    </row>
    <row r="264" spans="2:87" ht="15.75" customHeight="1">
      <c r="B264" s="2"/>
      <c r="C264" s="10"/>
      <c r="F264" s="39"/>
      <c r="G264" s="39"/>
      <c r="H264" s="39"/>
      <c r="I264" s="39"/>
      <c r="M264" s="39"/>
      <c r="N264" s="39"/>
      <c r="O264" s="39"/>
      <c r="U264" s="39"/>
      <c r="V264" s="39"/>
      <c r="W264" s="39"/>
      <c r="AC264" s="39"/>
      <c r="AD264" s="39"/>
      <c r="AE264" s="39"/>
      <c r="AK264" s="39"/>
      <c r="AL264" s="39"/>
      <c r="AM264" s="39"/>
      <c r="AS264" s="39"/>
      <c r="AT264" s="39"/>
      <c r="AU264" s="39"/>
      <c r="AZ264" s="40"/>
      <c r="BA264" s="39"/>
      <c r="BB264" s="39"/>
      <c r="BC264" s="39"/>
      <c r="BI264" s="39"/>
      <c r="BJ264" s="39"/>
      <c r="BK264" s="39"/>
      <c r="BQ264" s="39"/>
      <c r="BR264" s="39"/>
      <c r="BS264" s="39"/>
      <c r="BY264" s="39"/>
      <c r="BZ264" s="39"/>
      <c r="CA264" s="39"/>
      <c r="CG264" s="39"/>
      <c r="CH264" s="39"/>
      <c r="CI264" s="39"/>
    </row>
    <row r="265" spans="2:87" ht="15.75" customHeight="1">
      <c r="B265" s="2"/>
      <c r="C265" s="10"/>
      <c r="F265" s="39"/>
      <c r="G265" s="39"/>
      <c r="H265" s="39"/>
      <c r="I265" s="39"/>
      <c r="M265" s="39"/>
      <c r="N265" s="39"/>
      <c r="O265" s="39"/>
      <c r="U265" s="39"/>
      <c r="V265" s="39"/>
      <c r="W265" s="39"/>
      <c r="AC265" s="39"/>
      <c r="AD265" s="39"/>
      <c r="AE265" s="39"/>
      <c r="AK265" s="39"/>
      <c r="AL265" s="39"/>
      <c r="AM265" s="39"/>
      <c r="AS265" s="39"/>
      <c r="AT265" s="39"/>
      <c r="AU265" s="39"/>
      <c r="AZ265" s="40"/>
      <c r="BA265" s="39"/>
      <c r="BB265" s="39"/>
      <c r="BC265" s="39"/>
      <c r="BI265" s="39"/>
      <c r="BJ265" s="39"/>
      <c r="BK265" s="39"/>
      <c r="BQ265" s="39"/>
      <c r="BR265" s="39"/>
      <c r="BS265" s="39"/>
      <c r="BY265" s="39"/>
      <c r="BZ265" s="39"/>
      <c r="CA265" s="39"/>
      <c r="CG265" s="39"/>
      <c r="CH265" s="39"/>
      <c r="CI265" s="39"/>
    </row>
    <row r="266" spans="2:87" ht="15.75" customHeight="1">
      <c r="B266" s="2"/>
      <c r="C266" s="10"/>
      <c r="F266" s="39"/>
      <c r="G266" s="39"/>
      <c r="H266" s="39"/>
      <c r="I266" s="39"/>
      <c r="M266" s="39"/>
      <c r="N266" s="39"/>
      <c r="O266" s="39"/>
      <c r="U266" s="39"/>
      <c r="V266" s="39"/>
      <c r="W266" s="39"/>
      <c r="AC266" s="39"/>
      <c r="AD266" s="39"/>
      <c r="AE266" s="39"/>
      <c r="AK266" s="39"/>
      <c r="AL266" s="39"/>
      <c r="AM266" s="39"/>
      <c r="AS266" s="39"/>
      <c r="AT266" s="39"/>
      <c r="AU266" s="39"/>
      <c r="AZ266" s="40"/>
      <c r="BA266" s="39"/>
      <c r="BB266" s="39"/>
      <c r="BC266" s="39"/>
      <c r="BI266" s="39"/>
      <c r="BJ266" s="39"/>
      <c r="BK266" s="39"/>
      <c r="BQ266" s="39"/>
      <c r="BR266" s="39"/>
      <c r="BS266" s="39"/>
      <c r="BY266" s="39"/>
      <c r="BZ266" s="39"/>
      <c r="CA266" s="39"/>
      <c r="CG266" s="39"/>
      <c r="CH266" s="39"/>
      <c r="CI266" s="39"/>
    </row>
    <row r="267" spans="2:87" ht="15.75" customHeight="1">
      <c r="B267" s="2"/>
      <c r="C267" s="10"/>
      <c r="F267" s="39"/>
      <c r="G267" s="39"/>
      <c r="H267" s="39"/>
      <c r="I267" s="39"/>
      <c r="M267" s="39"/>
      <c r="N267" s="39"/>
      <c r="O267" s="39"/>
      <c r="U267" s="39"/>
      <c r="V267" s="39"/>
      <c r="W267" s="39"/>
      <c r="AC267" s="39"/>
      <c r="AD267" s="39"/>
      <c r="AE267" s="39"/>
      <c r="AK267" s="39"/>
      <c r="AL267" s="39"/>
      <c r="AM267" s="39"/>
      <c r="AS267" s="39"/>
      <c r="AT267" s="39"/>
      <c r="AU267" s="39"/>
      <c r="AZ267" s="40"/>
      <c r="BA267" s="39"/>
      <c r="BB267" s="39"/>
      <c r="BC267" s="39"/>
      <c r="BI267" s="39"/>
      <c r="BJ267" s="39"/>
      <c r="BK267" s="39"/>
      <c r="BQ267" s="39"/>
      <c r="BR267" s="39"/>
      <c r="BS267" s="39"/>
      <c r="BY267" s="39"/>
      <c r="BZ267" s="39"/>
      <c r="CA267" s="39"/>
      <c r="CG267" s="39"/>
      <c r="CH267" s="39"/>
      <c r="CI267" s="39"/>
    </row>
    <row r="268" spans="2:87" ht="15.75" customHeight="1">
      <c r="B268" s="2"/>
      <c r="C268" s="10"/>
      <c r="F268" s="39"/>
      <c r="G268" s="39"/>
      <c r="H268" s="39"/>
      <c r="I268" s="39"/>
      <c r="M268" s="39"/>
      <c r="N268" s="39"/>
      <c r="O268" s="39"/>
      <c r="U268" s="39"/>
      <c r="V268" s="39"/>
      <c r="W268" s="39"/>
      <c r="AC268" s="39"/>
      <c r="AD268" s="39"/>
      <c r="AE268" s="39"/>
      <c r="AK268" s="39"/>
      <c r="AL268" s="39"/>
      <c r="AM268" s="39"/>
      <c r="AS268" s="39"/>
      <c r="AT268" s="39"/>
      <c r="AU268" s="39"/>
      <c r="AZ268" s="40"/>
      <c r="BA268" s="39"/>
      <c r="BB268" s="39"/>
      <c r="BC268" s="39"/>
      <c r="BI268" s="39"/>
      <c r="BJ268" s="39"/>
      <c r="BK268" s="39"/>
      <c r="BQ268" s="39"/>
      <c r="BR268" s="39"/>
      <c r="BS268" s="39"/>
      <c r="BY268" s="39"/>
      <c r="BZ268" s="39"/>
      <c r="CA268" s="39"/>
      <c r="CG268" s="39"/>
      <c r="CH268" s="39"/>
      <c r="CI268" s="39"/>
    </row>
    <row r="269" spans="2:87" ht="15.75" customHeight="1">
      <c r="B269" s="2"/>
      <c r="C269" s="10"/>
      <c r="F269" s="39"/>
      <c r="G269" s="39"/>
      <c r="H269" s="39"/>
      <c r="I269" s="39"/>
      <c r="M269" s="39"/>
      <c r="N269" s="39"/>
      <c r="O269" s="39"/>
      <c r="U269" s="39"/>
      <c r="V269" s="39"/>
      <c r="W269" s="39"/>
      <c r="AC269" s="39"/>
      <c r="AD269" s="39"/>
      <c r="AE269" s="39"/>
      <c r="AK269" s="39"/>
      <c r="AL269" s="39"/>
      <c r="AM269" s="39"/>
      <c r="AS269" s="39"/>
      <c r="AT269" s="39"/>
      <c r="AU269" s="39"/>
      <c r="AZ269" s="40"/>
      <c r="BA269" s="39"/>
      <c r="BB269" s="39"/>
      <c r="BC269" s="39"/>
      <c r="BI269" s="39"/>
      <c r="BJ269" s="39"/>
      <c r="BK269" s="39"/>
      <c r="BQ269" s="39"/>
      <c r="BR269" s="39"/>
      <c r="BS269" s="39"/>
      <c r="BY269" s="39"/>
      <c r="BZ269" s="39"/>
      <c r="CA269" s="39"/>
      <c r="CG269" s="39"/>
      <c r="CH269" s="39"/>
      <c r="CI269" s="39"/>
    </row>
    <row r="270" spans="2:87" ht="15.75" customHeight="1">
      <c r="B270" s="2"/>
      <c r="C270" s="10"/>
      <c r="F270" s="39"/>
      <c r="G270" s="39"/>
      <c r="H270" s="39"/>
      <c r="I270" s="39"/>
      <c r="M270" s="39"/>
      <c r="N270" s="39"/>
      <c r="O270" s="39"/>
      <c r="U270" s="39"/>
      <c r="V270" s="39"/>
      <c r="W270" s="39"/>
      <c r="AC270" s="39"/>
      <c r="AD270" s="39"/>
      <c r="AE270" s="39"/>
      <c r="AK270" s="39"/>
      <c r="AL270" s="39"/>
      <c r="AM270" s="39"/>
      <c r="AS270" s="39"/>
      <c r="AT270" s="39"/>
      <c r="AU270" s="39"/>
      <c r="AZ270" s="40"/>
      <c r="BA270" s="39"/>
      <c r="BB270" s="39"/>
      <c r="BC270" s="39"/>
      <c r="BI270" s="39"/>
      <c r="BJ270" s="39"/>
      <c r="BK270" s="39"/>
      <c r="BQ270" s="39"/>
      <c r="BR270" s="39"/>
      <c r="BS270" s="39"/>
      <c r="BY270" s="39"/>
      <c r="BZ270" s="39"/>
      <c r="CA270" s="39"/>
      <c r="CG270" s="39"/>
      <c r="CH270" s="39"/>
      <c r="CI270" s="39"/>
    </row>
    <row r="271" spans="2:87" ht="15.75" customHeight="1">
      <c r="B271" s="2"/>
      <c r="C271" s="10"/>
      <c r="F271" s="39"/>
      <c r="G271" s="39"/>
      <c r="H271" s="39"/>
      <c r="I271" s="39"/>
      <c r="M271" s="39"/>
      <c r="N271" s="39"/>
      <c r="O271" s="39"/>
      <c r="U271" s="39"/>
      <c r="V271" s="39"/>
      <c r="W271" s="39"/>
      <c r="AC271" s="39"/>
      <c r="AD271" s="39"/>
      <c r="AE271" s="39"/>
      <c r="AK271" s="39"/>
      <c r="AL271" s="39"/>
      <c r="AM271" s="39"/>
      <c r="AS271" s="39"/>
      <c r="AT271" s="39"/>
      <c r="AU271" s="39"/>
      <c r="AZ271" s="40"/>
      <c r="BA271" s="39"/>
      <c r="BB271" s="39"/>
      <c r="BC271" s="39"/>
      <c r="BI271" s="39"/>
      <c r="BJ271" s="39"/>
      <c r="BK271" s="39"/>
      <c r="BQ271" s="39"/>
      <c r="BR271" s="39"/>
      <c r="BS271" s="39"/>
      <c r="BY271" s="39"/>
      <c r="BZ271" s="39"/>
      <c r="CA271" s="39"/>
      <c r="CG271" s="39"/>
      <c r="CH271" s="39"/>
      <c r="CI271" s="39"/>
    </row>
    <row r="272" spans="2:87" ht="15.75" customHeight="1">
      <c r="B272" s="2"/>
      <c r="C272" s="10"/>
      <c r="F272" s="39"/>
      <c r="G272" s="39"/>
      <c r="H272" s="39"/>
      <c r="I272" s="39"/>
      <c r="M272" s="39"/>
      <c r="N272" s="39"/>
      <c r="O272" s="39"/>
      <c r="U272" s="39"/>
      <c r="V272" s="39"/>
      <c r="W272" s="39"/>
      <c r="AC272" s="39"/>
      <c r="AD272" s="39"/>
      <c r="AE272" s="39"/>
      <c r="AK272" s="39"/>
      <c r="AL272" s="39"/>
      <c r="AM272" s="39"/>
      <c r="AS272" s="39"/>
      <c r="AT272" s="39"/>
      <c r="AU272" s="39"/>
      <c r="AZ272" s="40"/>
      <c r="BA272" s="39"/>
      <c r="BB272" s="39"/>
      <c r="BC272" s="39"/>
      <c r="BI272" s="39"/>
      <c r="BJ272" s="39"/>
      <c r="BK272" s="39"/>
      <c r="BQ272" s="39"/>
      <c r="BR272" s="39"/>
      <c r="BS272" s="39"/>
      <c r="BY272" s="39"/>
      <c r="BZ272" s="39"/>
      <c r="CA272" s="39"/>
      <c r="CG272" s="39"/>
      <c r="CH272" s="39"/>
      <c r="CI272" s="39"/>
    </row>
    <row r="273" spans="2:87" ht="15.75" customHeight="1">
      <c r="B273" s="2"/>
      <c r="C273" s="10"/>
      <c r="F273" s="39"/>
      <c r="G273" s="39"/>
      <c r="H273" s="39"/>
      <c r="I273" s="39"/>
      <c r="M273" s="39"/>
      <c r="N273" s="39"/>
      <c r="O273" s="39"/>
      <c r="U273" s="39"/>
      <c r="V273" s="39"/>
      <c r="W273" s="39"/>
      <c r="AC273" s="39"/>
      <c r="AD273" s="39"/>
      <c r="AE273" s="39"/>
      <c r="AK273" s="39"/>
      <c r="AL273" s="39"/>
      <c r="AM273" s="39"/>
      <c r="AS273" s="39"/>
      <c r="AT273" s="39"/>
      <c r="AU273" s="39"/>
      <c r="AZ273" s="40"/>
      <c r="BA273" s="39"/>
      <c r="BB273" s="39"/>
      <c r="BC273" s="39"/>
      <c r="BI273" s="39"/>
      <c r="BJ273" s="39"/>
      <c r="BK273" s="39"/>
      <c r="BQ273" s="39"/>
      <c r="BR273" s="39"/>
      <c r="BS273" s="39"/>
      <c r="BY273" s="39"/>
      <c r="BZ273" s="39"/>
      <c r="CA273" s="39"/>
      <c r="CG273" s="39"/>
      <c r="CH273" s="39"/>
      <c r="CI273" s="39"/>
    </row>
    <row r="274" spans="2:87" ht="15.75" customHeight="1">
      <c r="B274" s="2"/>
      <c r="C274" s="10"/>
      <c r="F274" s="39"/>
      <c r="G274" s="39"/>
      <c r="H274" s="39"/>
      <c r="I274" s="39"/>
      <c r="M274" s="39"/>
      <c r="N274" s="39"/>
      <c r="O274" s="39"/>
      <c r="U274" s="39"/>
      <c r="V274" s="39"/>
      <c r="W274" s="39"/>
      <c r="AC274" s="39"/>
      <c r="AD274" s="39"/>
      <c r="AE274" s="39"/>
      <c r="AK274" s="39"/>
      <c r="AL274" s="39"/>
      <c r="AM274" s="39"/>
      <c r="AS274" s="39"/>
      <c r="AT274" s="39"/>
      <c r="AU274" s="39"/>
      <c r="AZ274" s="40"/>
      <c r="BA274" s="39"/>
      <c r="BB274" s="39"/>
      <c r="BC274" s="39"/>
      <c r="BI274" s="39"/>
      <c r="BJ274" s="39"/>
      <c r="BK274" s="39"/>
      <c r="BQ274" s="39"/>
      <c r="BR274" s="39"/>
      <c r="BS274" s="39"/>
      <c r="BY274" s="39"/>
      <c r="BZ274" s="39"/>
      <c r="CA274" s="39"/>
      <c r="CG274" s="39"/>
      <c r="CH274" s="39"/>
      <c r="CI274" s="39"/>
    </row>
    <row r="275" spans="2:87" ht="15.75" customHeight="1">
      <c r="B275" s="2"/>
      <c r="C275" s="10"/>
      <c r="F275" s="39"/>
      <c r="G275" s="39"/>
      <c r="H275" s="39"/>
      <c r="I275" s="39"/>
      <c r="M275" s="39"/>
      <c r="N275" s="39"/>
      <c r="O275" s="39"/>
      <c r="U275" s="39"/>
      <c r="V275" s="39"/>
      <c r="W275" s="39"/>
      <c r="AC275" s="39"/>
      <c r="AD275" s="39"/>
      <c r="AE275" s="39"/>
      <c r="AK275" s="39"/>
      <c r="AL275" s="39"/>
      <c r="AM275" s="39"/>
      <c r="AS275" s="39"/>
      <c r="AT275" s="39"/>
      <c r="AU275" s="39"/>
      <c r="AZ275" s="40"/>
      <c r="BA275" s="39"/>
      <c r="BB275" s="39"/>
      <c r="BC275" s="39"/>
      <c r="BI275" s="39"/>
      <c r="BJ275" s="39"/>
      <c r="BK275" s="39"/>
      <c r="BQ275" s="39"/>
      <c r="BR275" s="39"/>
      <c r="BS275" s="39"/>
      <c r="BY275" s="39"/>
      <c r="BZ275" s="39"/>
      <c r="CA275" s="39"/>
      <c r="CG275" s="39"/>
      <c r="CH275" s="39"/>
      <c r="CI275" s="39"/>
    </row>
    <row r="276" spans="2:87" ht="15.75" customHeight="1">
      <c r="B276" s="2"/>
      <c r="C276" s="10"/>
      <c r="F276" s="39"/>
      <c r="G276" s="39"/>
      <c r="H276" s="39"/>
      <c r="I276" s="39"/>
      <c r="M276" s="39"/>
      <c r="N276" s="39"/>
      <c r="O276" s="39"/>
      <c r="U276" s="39"/>
      <c r="V276" s="39"/>
      <c r="W276" s="39"/>
      <c r="AC276" s="39"/>
      <c r="AD276" s="39"/>
      <c r="AE276" s="39"/>
      <c r="AK276" s="39"/>
      <c r="AL276" s="39"/>
      <c r="AM276" s="39"/>
      <c r="AS276" s="39"/>
      <c r="AT276" s="39"/>
      <c r="AU276" s="39"/>
      <c r="AZ276" s="40"/>
      <c r="BA276" s="39"/>
      <c r="BB276" s="39"/>
      <c r="BC276" s="39"/>
      <c r="BI276" s="39"/>
      <c r="BJ276" s="39"/>
      <c r="BK276" s="39"/>
      <c r="BQ276" s="39"/>
      <c r="BR276" s="39"/>
      <c r="BS276" s="39"/>
      <c r="BY276" s="39"/>
      <c r="BZ276" s="39"/>
      <c r="CA276" s="39"/>
      <c r="CG276" s="39"/>
      <c r="CH276" s="39"/>
      <c r="CI276" s="39"/>
    </row>
    <row r="277" spans="2:87" ht="15.75" customHeight="1">
      <c r="B277" s="2"/>
      <c r="C277" s="10"/>
      <c r="F277" s="39"/>
      <c r="G277" s="39"/>
      <c r="H277" s="39"/>
      <c r="I277" s="39"/>
      <c r="M277" s="39"/>
      <c r="N277" s="39"/>
      <c r="O277" s="39"/>
      <c r="U277" s="39"/>
      <c r="V277" s="39"/>
      <c r="W277" s="39"/>
      <c r="AC277" s="39"/>
      <c r="AD277" s="39"/>
      <c r="AE277" s="39"/>
      <c r="AK277" s="39"/>
      <c r="AL277" s="39"/>
      <c r="AM277" s="39"/>
      <c r="AS277" s="39"/>
      <c r="AT277" s="39"/>
      <c r="AU277" s="39"/>
      <c r="AZ277" s="40"/>
      <c r="BA277" s="39"/>
      <c r="BB277" s="39"/>
      <c r="BC277" s="39"/>
      <c r="BI277" s="39"/>
      <c r="BJ277" s="39"/>
      <c r="BK277" s="39"/>
      <c r="BQ277" s="39"/>
      <c r="BR277" s="39"/>
      <c r="BS277" s="39"/>
      <c r="BY277" s="39"/>
      <c r="BZ277" s="39"/>
      <c r="CA277" s="39"/>
      <c r="CG277" s="39"/>
      <c r="CH277" s="39"/>
      <c r="CI277" s="39"/>
    </row>
    <row r="278" spans="2:87" ht="15.75" customHeight="1">
      <c r="B278" s="2"/>
      <c r="C278" s="10"/>
      <c r="F278" s="39"/>
      <c r="G278" s="39"/>
      <c r="H278" s="39"/>
      <c r="I278" s="39"/>
      <c r="M278" s="39"/>
      <c r="N278" s="39"/>
      <c r="O278" s="39"/>
      <c r="U278" s="39"/>
      <c r="V278" s="39"/>
      <c r="W278" s="39"/>
      <c r="AC278" s="39"/>
      <c r="AD278" s="39"/>
      <c r="AE278" s="39"/>
      <c r="AK278" s="39"/>
      <c r="AL278" s="39"/>
      <c r="AM278" s="39"/>
      <c r="AS278" s="39"/>
      <c r="AT278" s="39"/>
      <c r="AU278" s="39"/>
      <c r="AZ278" s="40"/>
      <c r="BA278" s="39"/>
      <c r="BB278" s="39"/>
      <c r="BC278" s="39"/>
      <c r="BI278" s="39"/>
      <c r="BJ278" s="39"/>
      <c r="BK278" s="39"/>
      <c r="BQ278" s="39"/>
      <c r="BR278" s="39"/>
      <c r="BS278" s="39"/>
      <c r="BY278" s="39"/>
      <c r="BZ278" s="39"/>
      <c r="CA278" s="39"/>
      <c r="CG278" s="39"/>
      <c r="CH278" s="39"/>
      <c r="CI278" s="39"/>
    </row>
    <row r="279" spans="2:87" ht="15.75" customHeight="1">
      <c r="B279" s="2"/>
      <c r="C279" s="10"/>
      <c r="F279" s="39"/>
      <c r="G279" s="39"/>
      <c r="H279" s="39"/>
      <c r="I279" s="39"/>
      <c r="M279" s="39"/>
      <c r="N279" s="39"/>
      <c r="O279" s="39"/>
      <c r="U279" s="39"/>
      <c r="V279" s="39"/>
      <c r="W279" s="39"/>
      <c r="AC279" s="39"/>
      <c r="AD279" s="39"/>
      <c r="AE279" s="39"/>
      <c r="AK279" s="39"/>
      <c r="AL279" s="39"/>
      <c r="AM279" s="39"/>
      <c r="AS279" s="39"/>
      <c r="AT279" s="39"/>
      <c r="AU279" s="39"/>
      <c r="AZ279" s="40"/>
      <c r="BA279" s="39"/>
      <c r="BB279" s="39"/>
      <c r="BC279" s="39"/>
      <c r="BI279" s="39"/>
      <c r="BJ279" s="39"/>
      <c r="BK279" s="39"/>
      <c r="BQ279" s="39"/>
      <c r="BR279" s="39"/>
      <c r="BS279" s="39"/>
      <c r="BY279" s="39"/>
      <c r="BZ279" s="39"/>
      <c r="CA279" s="39"/>
      <c r="CG279" s="39"/>
      <c r="CH279" s="39"/>
      <c r="CI279" s="39"/>
    </row>
    <row r="280" spans="2:87" ht="15.75" customHeight="1">
      <c r="B280" s="2"/>
      <c r="C280" s="10"/>
      <c r="F280" s="39"/>
      <c r="G280" s="39"/>
      <c r="H280" s="39"/>
      <c r="I280" s="39"/>
      <c r="M280" s="39"/>
      <c r="N280" s="39"/>
      <c r="O280" s="39"/>
      <c r="U280" s="39"/>
      <c r="V280" s="39"/>
      <c r="W280" s="39"/>
      <c r="AC280" s="39"/>
      <c r="AD280" s="39"/>
      <c r="AE280" s="39"/>
      <c r="AK280" s="39"/>
      <c r="AL280" s="39"/>
      <c r="AM280" s="39"/>
      <c r="AS280" s="39"/>
      <c r="AT280" s="39"/>
      <c r="AU280" s="39"/>
      <c r="AZ280" s="40"/>
      <c r="BA280" s="39"/>
      <c r="BB280" s="39"/>
      <c r="BC280" s="39"/>
      <c r="BI280" s="39"/>
      <c r="BJ280" s="39"/>
      <c r="BK280" s="39"/>
      <c r="BQ280" s="39"/>
      <c r="BR280" s="39"/>
      <c r="BS280" s="39"/>
      <c r="BY280" s="39"/>
      <c r="BZ280" s="39"/>
      <c r="CA280" s="39"/>
      <c r="CG280" s="39"/>
      <c r="CH280" s="39"/>
      <c r="CI280" s="39"/>
    </row>
    <row r="281" spans="2:87" ht="15.75" customHeight="1">
      <c r="B281" s="2"/>
      <c r="C281" s="10"/>
      <c r="F281" s="39"/>
      <c r="G281" s="39"/>
      <c r="H281" s="39"/>
      <c r="I281" s="39"/>
      <c r="M281" s="39"/>
      <c r="N281" s="39"/>
      <c r="O281" s="39"/>
      <c r="U281" s="39"/>
      <c r="V281" s="39"/>
      <c r="W281" s="39"/>
      <c r="AC281" s="39"/>
      <c r="AD281" s="39"/>
      <c r="AE281" s="39"/>
      <c r="AK281" s="39"/>
      <c r="AL281" s="39"/>
      <c r="AM281" s="39"/>
      <c r="AS281" s="39"/>
      <c r="AT281" s="39"/>
      <c r="AU281" s="39"/>
      <c r="AZ281" s="40"/>
      <c r="BA281" s="39"/>
      <c r="BB281" s="39"/>
      <c r="BC281" s="39"/>
      <c r="BI281" s="39"/>
      <c r="BJ281" s="39"/>
      <c r="BK281" s="39"/>
      <c r="BQ281" s="39"/>
      <c r="BR281" s="39"/>
      <c r="BS281" s="39"/>
      <c r="BY281" s="39"/>
      <c r="BZ281" s="39"/>
      <c r="CA281" s="39"/>
      <c r="CG281" s="39"/>
      <c r="CH281" s="39"/>
      <c r="CI281" s="39"/>
    </row>
    <row r="282" spans="2:87" ht="15.75" customHeight="1">
      <c r="B282" s="2"/>
      <c r="C282" s="10"/>
      <c r="F282" s="39"/>
      <c r="G282" s="39"/>
      <c r="H282" s="39"/>
      <c r="I282" s="39"/>
      <c r="M282" s="39"/>
      <c r="N282" s="39"/>
      <c r="O282" s="39"/>
      <c r="U282" s="39"/>
      <c r="V282" s="39"/>
      <c r="W282" s="39"/>
      <c r="AC282" s="39"/>
      <c r="AD282" s="39"/>
      <c r="AE282" s="39"/>
      <c r="AK282" s="39"/>
      <c r="AL282" s="39"/>
      <c r="AM282" s="39"/>
      <c r="AS282" s="39"/>
      <c r="AT282" s="39"/>
      <c r="AU282" s="39"/>
      <c r="AZ282" s="40"/>
      <c r="BA282" s="39"/>
      <c r="BB282" s="39"/>
      <c r="BC282" s="39"/>
      <c r="BI282" s="39"/>
      <c r="BJ282" s="39"/>
      <c r="BK282" s="39"/>
      <c r="BQ282" s="39"/>
      <c r="BR282" s="39"/>
      <c r="BS282" s="39"/>
      <c r="BY282" s="39"/>
      <c r="BZ282" s="39"/>
      <c r="CA282" s="39"/>
      <c r="CG282" s="39"/>
      <c r="CH282" s="39"/>
      <c r="CI282" s="39"/>
    </row>
    <row r="283" spans="2:87" ht="15.75" customHeight="1">
      <c r="B283" s="2"/>
      <c r="C283" s="10"/>
      <c r="F283" s="39"/>
      <c r="G283" s="39"/>
      <c r="H283" s="39"/>
      <c r="I283" s="39"/>
      <c r="M283" s="39"/>
      <c r="N283" s="39"/>
      <c r="O283" s="39"/>
      <c r="U283" s="39"/>
      <c r="V283" s="39"/>
      <c r="W283" s="39"/>
      <c r="AC283" s="39"/>
      <c r="AD283" s="39"/>
      <c r="AE283" s="39"/>
      <c r="AK283" s="39"/>
      <c r="AL283" s="39"/>
      <c r="AM283" s="39"/>
      <c r="AS283" s="39"/>
      <c r="AT283" s="39"/>
      <c r="AU283" s="39"/>
      <c r="AZ283" s="40"/>
      <c r="BA283" s="39"/>
      <c r="BB283" s="39"/>
      <c r="BC283" s="39"/>
      <c r="BI283" s="39"/>
      <c r="BJ283" s="39"/>
      <c r="BK283" s="39"/>
      <c r="BQ283" s="39"/>
      <c r="BR283" s="39"/>
      <c r="BS283" s="39"/>
      <c r="BY283" s="39"/>
      <c r="BZ283" s="39"/>
      <c r="CA283" s="39"/>
      <c r="CG283" s="39"/>
      <c r="CH283" s="39"/>
      <c r="CI283" s="39"/>
    </row>
    <row r="284" spans="2:87" ht="15.75" customHeight="1">
      <c r="B284" s="2"/>
      <c r="C284" s="10"/>
      <c r="F284" s="39"/>
      <c r="G284" s="39"/>
      <c r="H284" s="39"/>
      <c r="I284" s="39"/>
      <c r="M284" s="39"/>
      <c r="N284" s="39"/>
      <c r="O284" s="39"/>
      <c r="U284" s="39"/>
      <c r="V284" s="39"/>
      <c r="W284" s="39"/>
      <c r="AC284" s="39"/>
      <c r="AD284" s="39"/>
      <c r="AE284" s="39"/>
      <c r="AK284" s="39"/>
      <c r="AL284" s="39"/>
      <c r="AM284" s="39"/>
      <c r="AS284" s="39"/>
      <c r="AT284" s="39"/>
      <c r="AU284" s="39"/>
      <c r="AZ284" s="40"/>
      <c r="BA284" s="39"/>
      <c r="BB284" s="39"/>
      <c r="BC284" s="39"/>
      <c r="BI284" s="39"/>
      <c r="BJ284" s="39"/>
      <c r="BK284" s="39"/>
      <c r="BQ284" s="39"/>
      <c r="BR284" s="39"/>
      <c r="BS284" s="39"/>
      <c r="BY284" s="39"/>
      <c r="BZ284" s="39"/>
      <c r="CA284" s="39"/>
      <c r="CG284" s="39"/>
      <c r="CH284" s="39"/>
      <c r="CI284" s="39"/>
    </row>
    <row r="285" spans="2:87" ht="15.75" customHeight="1">
      <c r="B285" s="2"/>
      <c r="C285" s="10"/>
      <c r="F285" s="39"/>
      <c r="G285" s="39"/>
      <c r="H285" s="39"/>
      <c r="I285" s="39"/>
      <c r="M285" s="39"/>
      <c r="N285" s="39"/>
      <c r="O285" s="39"/>
      <c r="U285" s="39"/>
      <c r="V285" s="39"/>
      <c r="W285" s="39"/>
      <c r="AC285" s="39"/>
      <c r="AD285" s="39"/>
      <c r="AE285" s="39"/>
      <c r="AK285" s="39"/>
      <c r="AL285" s="39"/>
      <c r="AM285" s="39"/>
      <c r="AS285" s="39"/>
      <c r="AT285" s="39"/>
      <c r="AU285" s="39"/>
      <c r="AZ285" s="40"/>
      <c r="BA285" s="39"/>
      <c r="BB285" s="39"/>
      <c r="BC285" s="39"/>
      <c r="BI285" s="39"/>
      <c r="BJ285" s="39"/>
      <c r="BK285" s="39"/>
      <c r="BQ285" s="39"/>
      <c r="BR285" s="39"/>
      <c r="BS285" s="39"/>
      <c r="BY285" s="39"/>
      <c r="BZ285" s="39"/>
      <c r="CA285" s="39"/>
      <c r="CG285" s="39"/>
      <c r="CH285" s="39"/>
      <c r="CI285" s="39"/>
    </row>
    <row r="286" spans="2:87" ht="15.75" customHeight="1">
      <c r="B286" s="2"/>
      <c r="C286" s="10"/>
      <c r="F286" s="39"/>
      <c r="G286" s="39"/>
      <c r="H286" s="39"/>
      <c r="I286" s="39"/>
      <c r="M286" s="39"/>
      <c r="N286" s="39"/>
      <c r="O286" s="39"/>
      <c r="U286" s="39"/>
      <c r="V286" s="39"/>
      <c r="W286" s="39"/>
      <c r="AC286" s="39"/>
      <c r="AD286" s="39"/>
      <c r="AE286" s="39"/>
      <c r="AK286" s="39"/>
      <c r="AL286" s="39"/>
      <c r="AM286" s="39"/>
      <c r="AS286" s="39"/>
      <c r="AT286" s="39"/>
      <c r="AU286" s="39"/>
      <c r="AZ286" s="40"/>
      <c r="BA286" s="39"/>
      <c r="BB286" s="39"/>
      <c r="BC286" s="39"/>
      <c r="BI286" s="39"/>
      <c r="BJ286" s="39"/>
      <c r="BK286" s="39"/>
      <c r="BQ286" s="39"/>
      <c r="BR286" s="39"/>
      <c r="BS286" s="39"/>
      <c r="BY286" s="39"/>
      <c r="BZ286" s="39"/>
      <c r="CA286" s="39"/>
      <c r="CG286" s="39"/>
      <c r="CH286" s="39"/>
      <c r="CI286" s="39"/>
    </row>
    <row r="287" spans="2:87" ht="15.75" customHeight="1">
      <c r="B287" s="2"/>
      <c r="C287" s="10"/>
      <c r="F287" s="39"/>
      <c r="G287" s="39"/>
      <c r="H287" s="39"/>
      <c r="I287" s="39"/>
      <c r="M287" s="39"/>
      <c r="N287" s="39"/>
      <c r="O287" s="39"/>
      <c r="U287" s="39"/>
      <c r="V287" s="39"/>
      <c r="W287" s="39"/>
      <c r="AC287" s="39"/>
      <c r="AD287" s="39"/>
      <c r="AE287" s="39"/>
      <c r="AK287" s="39"/>
      <c r="AL287" s="39"/>
      <c r="AM287" s="39"/>
      <c r="AS287" s="39"/>
      <c r="AT287" s="39"/>
      <c r="AU287" s="39"/>
      <c r="AZ287" s="40"/>
      <c r="BA287" s="39"/>
      <c r="BB287" s="39"/>
      <c r="BC287" s="39"/>
      <c r="BI287" s="39"/>
      <c r="BJ287" s="39"/>
      <c r="BK287" s="39"/>
      <c r="BQ287" s="39"/>
      <c r="BR287" s="39"/>
      <c r="BS287" s="39"/>
      <c r="BY287" s="39"/>
      <c r="BZ287" s="39"/>
      <c r="CA287" s="39"/>
      <c r="CG287" s="39"/>
      <c r="CH287" s="39"/>
      <c r="CI287" s="39"/>
    </row>
    <row r="288" spans="2:87" ht="15.75" customHeight="1">
      <c r="B288" s="2"/>
      <c r="C288" s="10"/>
      <c r="F288" s="39"/>
      <c r="G288" s="39"/>
      <c r="H288" s="39"/>
      <c r="I288" s="39"/>
      <c r="M288" s="39"/>
      <c r="N288" s="39"/>
      <c r="O288" s="39"/>
      <c r="U288" s="39"/>
      <c r="V288" s="39"/>
      <c r="W288" s="39"/>
      <c r="AC288" s="39"/>
      <c r="AD288" s="39"/>
      <c r="AE288" s="39"/>
      <c r="AK288" s="39"/>
      <c r="AL288" s="39"/>
      <c r="AM288" s="39"/>
      <c r="AS288" s="39"/>
      <c r="AT288" s="39"/>
      <c r="AU288" s="39"/>
      <c r="AZ288" s="40"/>
      <c r="BA288" s="39"/>
      <c r="BB288" s="39"/>
      <c r="BC288" s="39"/>
      <c r="BI288" s="39"/>
      <c r="BJ288" s="39"/>
      <c r="BK288" s="39"/>
      <c r="BQ288" s="39"/>
      <c r="BR288" s="39"/>
      <c r="BS288" s="39"/>
      <c r="BY288" s="39"/>
      <c r="BZ288" s="39"/>
      <c r="CA288" s="39"/>
      <c r="CG288" s="39"/>
      <c r="CH288" s="39"/>
      <c r="CI288" s="39"/>
    </row>
    <row r="289" spans="2:87" ht="15.75" customHeight="1">
      <c r="B289" s="2"/>
      <c r="C289" s="10"/>
      <c r="F289" s="39"/>
      <c r="G289" s="39"/>
      <c r="H289" s="39"/>
      <c r="I289" s="39"/>
      <c r="M289" s="39"/>
      <c r="N289" s="39"/>
      <c r="O289" s="39"/>
      <c r="U289" s="39"/>
      <c r="V289" s="39"/>
      <c r="W289" s="39"/>
      <c r="AC289" s="39"/>
      <c r="AD289" s="39"/>
      <c r="AE289" s="39"/>
      <c r="AK289" s="39"/>
      <c r="AL289" s="39"/>
      <c r="AM289" s="39"/>
      <c r="AS289" s="39"/>
      <c r="AT289" s="39"/>
      <c r="AU289" s="39"/>
      <c r="AZ289" s="40"/>
      <c r="BA289" s="39"/>
      <c r="BB289" s="39"/>
      <c r="BC289" s="39"/>
      <c r="BI289" s="39"/>
      <c r="BJ289" s="39"/>
      <c r="BK289" s="39"/>
      <c r="BQ289" s="39"/>
      <c r="BR289" s="39"/>
      <c r="BS289" s="39"/>
      <c r="BY289" s="39"/>
      <c r="BZ289" s="39"/>
      <c r="CA289" s="39"/>
      <c r="CG289" s="39"/>
      <c r="CH289" s="39"/>
      <c r="CI289" s="39"/>
    </row>
    <row r="290" spans="2:87" ht="15.75" customHeight="1">
      <c r="B290" s="2"/>
      <c r="C290" s="10"/>
      <c r="F290" s="39"/>
      <c r="G290" s="39"/>
      <c r="H290" s="39"/>
      <c r="I290" s="39"/>
      <c r="M290" s="39"/>
      <c r="N290" s="39"/>
      <c r="O290" s="39"/>
      <c r="U290" s="39"/>
      <c r="V290" s="39"/>
      <c r="W290" s="39"/>
      <c r="AC290" s="39"/>
      <c r="AD290" s="39"/>
      <c r="AE290" s="39"/>
      <c r="AK290" s="39"/>
      <c r="AL290" s="39"/>
      <c r="AM290" s="39"/>
      <c r="AS290" s="39"/>
      <c r="AT290" s="39"/>
      <c r="AU290" s="39"/>
      <c r="AZ290" s="40"/>
      <c r="BA290" s="39"/>
      <c r="BB290" s="39"/>
      <c r="BC290" s="39"/>
      <c r="BI290" s="39"/>
      <c r="BJ290" s="39"/>
      <c r="BK290" s="39"/>
      <c r="BQ290" s="39"/>
      <c r="BR290" s="39"/>
      <c r="BS290" s="39"/>
      <c r="BY290" s="39"/>
      <c r="BZ290" s="39"/>
      <c r="CA290" s="39"/>
      <c r="CG290" s="39"/>
      <c r="CH290" s="39"/>
      <c r="CI290" s="39"/>
    </row>
    <row r="291" spans="2:87" ht="15.75" customHeight="1">
      <c r="B291" s="2"/>
      <c r="C291" s="10"/>
      <c r="F291" s="39"/>
      <c r="G291" s="39"/>
      <c r="H291" s="39"/>
      <c r="I291" s="39"/>
      <c r="M291" s="39"/>
      <c r="N291" s="39"/>
      <c r="O291" s="39"/>
      <c r="U291" s="39"/>
      <c r="V291" s="39"/>
      <c r="W291" s="39"/>
      <c r="AC291" s="39"/>
      <c r="AD291" s="39"/>
      <c r="AE291" s="39"/>
      <c r="AK291" s="39"/>
      <c r="AL291" s="39"/>
      <c r="AM291" s="39"/>
      <c r="AS291" s="39"/>
      <c r="AT291" s="39"/>
      <c r="AU291" s="39"/>
      <c r="AZ291" s="40"/>
      <c r="BA291" s="39"/>
      <c r="BB291" s="39"/>
      <c r="BC291" s="39"/>
      <c r="BI291" s="39"/>
      <c r="BJ291" s="39"/>
      <c r="BK291" s="39"/>
      <c r="BQ291" s="39"/>
      <c r="BR291" s="39"/>
      <c r="BS291" s="39"/>
      <c r="BY291" s="39"/>
      <c r="BZ291" s="39"/>
      <c r="CA291" s="39"/>
      <c r="CG291" s="39"/>
      <c r="CH291" s="39"/>
      <c r="CI291" s="39"/>
    </row>
    <row r="292" spans="2:87" ht="15.75" customHeight="1">
      <c r="B292" s="2"/>
      <c r="C292" s="10"/>
      <c r="F292" s="39"/>
      <c r="G292" s="39"/>
      <c r="H292" s="39"/>
      <c r="I292" s="39"/>
      <c r="M292" s="39"/>
      <c r="N292" s="39"/>
      <c r="O292" s="39"/>
      <c r="U292" s="39"/>
      <c r="V292" s="39"/>
      <c r="W292" s="39"/>
      <c r="AC292" s="39"/>
      <c r="AD292" s="39"/>
      <c r="AE292" s="39"/>
      <c r="AK292" s="39"/>
      <c r="AL292" s="39"/>
      <c r="AM292" s="39"/>
      <c r="AS292" s="39"/>
      <c r="AT292" s="39"/>
      <c r="AU292" s="39"/>
      <c r="AZ292" s="40"/>
      <c r="BA292" s="39"/>
      <c r="BB292" s="39"/>
      <c r="BC292" s="39"/>
      <c r="BI292" s="39"/>
      <c r="BJ292" s="39"/>
      <c r="BK292" s="39"/>
      <c r="BQ292" s="39"/>
      <c r="BR292" s="39"/>
      <c r="BS292" s="39"/>
      <c r="BY292" s="39"/>
      <c r="BZ292" s="39"/>
      <c r="CA292" s="39"/>
      <c r="CG292" s="39"/>
      <c r="CH292" s="39"/>
      <c r="CI292" s="39"/>
    </row>
    <row r="293" spans="2:87" ht="15.75" customHeight="1">
      <c r="B293" s="2"/>
      <c r="C293" s="10"/>
      <c r="F293" s="39"/>
      <c r="G293" s="39"/>
      <c r="H293" s="39"/>
      <c r="I293" s="39"/>
      <c r="M293" s="39"/>
      <c r="N293" s="39"/>
      <c r="O293" s="39"/>
      <c r="U293" s="39"/>
      <c r="V293" s="39"/>
      <c r="W293" s="39"/>
      <c r="AC293" s="39"/>
      <c r="AD293" s="39"/>
      <c r="AE293" s="39"/>
      <c r="AK293" s="39"/>
      <c r="AL293" s="39"/>
      <c r="AM293" s="39"/>
      <c r="AS293" s="39"/>
      <c r="AT293" s="39"/>
      <c r="AU293" s="39"/>
      <c r="AZ293" s="40"/>
      <c r="BA293" s="39"/>
      <c r="BB293" s="39"/>
      <c r="BC293" s="39"/>
      <c r="BI293" s="39"/>
      <c r="BJ293" s="39"/>
      <c r="BK293" s="39"/>
      <c r="BQ293" s="39"/>
      <c r="BR293" s="39"/>
      <c r="BS293" s="39"/>
      <c r="BY293" s="39"/>
      <c r="BZ293" s="39"/>
      <c r="CA293" s="39"/>
      <c r="CG293" s="39"/>
      <c r="CH293" s="39"/>
      <c r="CI293" s="39"/>
    </row>
    <row r="294" spans="2:87" ht="15.75" customHeight="1">
      <c r="B294" s="2"/>
      <c r="C294" s="10"/>
      <c r="F294" s="39"/>
      <c r="G294" s="39"/>
      <c r="H294" s="39"/>
      <c r="I294" s="39"/>
      <c r="M294" s="39"/>
      <c r="N294" s="39"/>
      <c r="O294" s="39"/>
      <c r="U294" s="39"/>
      <c r="V294" s="39"/>
      <c r="W294" s="39"/>
      <c r="AC294" s="39"/>
      <c r="AD294" s="39"/>
      <c r="AE294" s="39"/>
      <c r="AK294" s="39"/>
      <c r="AL294" s="39"/>
      <c r="AM294" s="39"/>
      <c r="AS294" s="39"/>
      <c r="AT294" s="39"/>
      <c r="AU294" s="39"/>
      <c r="AZ294" s="40"/>
      <c r="BA294" s="39"/>
      <c r="BB294" s="39"/>
      <c r="BC294" s="39"/>
      <c r="BI294" s="39"/>
      <c r="BJ294" s="39"/>
      <c r="BK294" s="39"/>
      <c r="BQ294" s="39"/>
      <c r="BR294" s="39"/>
      <c r="BS294" s="39"/>
      <c r="BY294" s="39"/>
      <c r="BZ294" s="39"/>
      <c r="CA294" s="39"/>
      <c r="CG294" s="39"/>
      <c r="CH294" s="39"/>
      <c r="CI294" s="39"/>
    </row>
    <row r="295" spans="2:87" ht="15.75" customHeight="1">
      <c r="B295" s="2"/>
      <c r="C295" s="10"/>
      <c r="F295" s="39"/>
      <c r="G295" s="39"/>
      <c r="H295" s="39"/>
      <c r="I295" s="39"/>
      <c r="M295" s="39"/>
      <c r="N295" s="39"/>
      <c r="O295" s="39"/>
      <c r="U295" s="39"/>
      <c r="V295" s="39"/>
      <c r="W295" s="39"/>
      <c r="AC295" s="39"/>
      <c r="AD295" s="39"/>
      <c r="AE295" s="39"/>
      <c r="AK295" s="39"/>
      <c r="AL295" s="39"/>
      <c r="AM295" s="39"/>
      <c r="AS295" s="39"/>
      <c r="AT295" s="39"/>
      <c r="AU295" s="39"/>
      <c r="AZ295" s="40"/>
      <c r="BA295" s="39"/>
      <c r="BB295" s="39"/>
      <c r="BC295" s="39"/>
      <c r="BI295" s="39"/>
      <c r="BJ295" s="39"/>
      <c r="BK295" s="39"/>
      <c r="BQ295" s="39"/>
      <c r="BR295" s="39"/>
      <c r="BS295" s="39"/>
      <c r="BY295" s="39"/>
      <c r="BZ295" s="39"/>
      <c r="CA295" s="39"/>
      <c r="CG295" s="39"/>
      <c r="CH295" s="39"/>
      <c r="CI295" s="39"/>
    </row>
    <row r="296" spans="2:87" ht="15.75" customHeight="1">
      <c r="B296" s="2"/>
      <c r="C296" s="10"/>
      <c r="F296" s="39"/>
      <c r="G296" s="39"/>
      <c r="H296" s="39"/>
      <c r="I296" s="39"/>
      <c r="M296" s="39"/>
      <c r="N296" s="39"/>
      <c r="O296" s="39"/>
      <c r="U296" s="39"/>
      <c r="V296" s="39"/>
      <c r="W296" s="39"/>
      <c r="AC296" s="39"/>
      <c r="AD296" s="39"/>
      <c r="AE296" s="39"/>
      <c r="AK296" s="39"/>
      <c r="AL296" s="39"/>
      <c r="AM296" s="39"/>
      <c r="AS296" s="39"/>
      <c r="AT296" s="39"/>
      <c r="AU296" s="39"/>
      <c r="AZ296" s="40"/>
      <c r="BA296" s="39"/>
      <c r="BB296" s="39"/>
      <c r="BC296" s="39"/>
      <c r="BI296" s="39"/>
      <c r="BJ296" s="39"/>
      <c r="BK296" s="39"/>
      <c r="BQ296" s="39"/>
      <c r="BR296" s="39"/>
      <c r="BS296" s="39"/>
      <c r="BY296" s="39"/>
      <c r="BZ296" s="39"/>
      <c r="CA296" s="39"/>
      <c r="CG296" s="39"/>
      <c r="CH296" s="39"/>
      <c r="CI296" s="39"/>
    </row>
    <row r="297" spans="2:87" ht="15.75" customHeight="1">
      <c r="B297" s="2"/>
      <c r="C297" s="10"/>
      <c r="F297" s="39"/>
      <c r="G297" s="39"/>
      <c r="H297" s="39"/>
      <c r="I297" s="39"/>
      <c r="M297" s="39"/>
      <c r="N297" s="39"/>
      <c r="O297" s="39"/>
      <c r="U297" s="39"/>
      <c r="V297" s="39"/>
      <c r="W297" s="39"/>
      <c r="AC297" s="39"/>
      <c r="AD297" s="39"/>
      <c r="AE297" s="39"/>
      <c r="AK297" s="39"/>
      <c r="AL297" s="39"/>
      <c r="AM297" s="39"/>
      <c r="AS297" s="39"/>
      <c r="AT297" s="39"/>
      <c r="AU297" s="39"/>
      <c r="AZ297" s="40"/>
      <c r="BA297" s="39"/>
      <c r="BB297" s="39"/>
      <c r="BC297" s="39"/>
      <c r="BI297" s="39"/>
      <c r="BJ297" s="39"/>
      <c r="BK297" s="39"/>
      <c r="BQ297" s="39"/>
      <c r="BR297" s="39"/>
      <c r="BS297" s="39"/>
      <c r="BY297" s="39"/>
      <c r="BZ297" s="39"/>
      <c r="CA297" s="39"/>
      <c r="CG297" s="39"/>
      <c r="CH297" s="39"/>
      <c r="CI297" s="39"/>
    </row>
    <row r="298" spans="2:87" ht="15.75" customHeight="1">
      <c r="B298" s="2"/>
      <c r="C298" s="10"/>
      <c r="F298" s="39"/>
      <c r="G298" s="39"/>
      <c r="H298" s="39"/>
      <c r="I298" s="39"/>
      <c r="M298" s="39"/>
      <c r="N298" s="39"/>
      <c r="O298" s="39"/>
      <c r="U298" s="39"/>
      <c r="V298" s="39"/>
      <c r="W298" s="39"/>
      <c r="AC298" s="39"/>
      <c r="AD298" s="39"/>
      <c r="AE298" s="39"/>
      <c r="AK298" s="39"/>
      <c r="AL298" s="39"/>
      <c r="AM298" s="39"/>
      <c r="AS298" s="39"/>
      <c r="AT298" s="39"/>
      <c r="AU298" s="39"/>
      <c r="AZ298" s="40"/>
      <c r="BA298" s="39"/>
      <c r="BB298" s="39"/>
      <c r="BC298" s="39"/>
      <c r="BI298" s="39"/>
      <c r="BJ298" s="39"/>
      <c r="BK298" s="39"/>
      <c r="BQ298" s="39"/>
      <c r="BR298" s="39"/>
      <c r="BS298" s="39"/>
      <c r="BY298" s="39"/>
      <c r="BZ298" s="39"/>
      <c r="CA298" s="39"/>
      <c r="CG298" s="39"/>
      <c r="CH298" s="39"/>
      <c r="CI298" s="39"/>
    </row>
    <row r="299" spans="2:87" ht="15.75" customHeight="1">
      <c r="B299" s="2"/>
      <c r="C299" s="10"/>
      <c r="F299" s="39"/>
      <c r="G299" s="39"/>
      <c r="H299" s="39"/>
      <c r="I299" s="39"/>
      <c r="M299" s="39"/>
      <c r="N299" s="39"/>
      <c r="O299" s="39"/>
      <c r="U299" s="39"/>
      <c r="V299" s="39"/>
      <c r="W299" s="39"/>
      <c r="AC299" s="39"/>
      <c r="AD299" s="39"/>
      <c r="AE299" s="39"/>
      <c r="AK299" s="39"/>
      <c r="AL299" s="39"/>
      <c r="AM299" s="39"/>
      <c r="AS299" s="39"/>
      <c r="AT299" s="39"/>
      <c r="AU299" s="39"/>
      <c r="AZ299" s="40"/>
      <c r="BA299" s="39"/>
      <c r="BB299" s="39"/>
      <c r="BC299" s="39"/>
      <c r="BI299" s="39"/>
      <c r="BJ299" s="39"/>
      <c r="BK299" s="39"/>
      <c r="BQ299" s="39"/>
      <c r="BR299" s="39"/>
      <c r="BS299" s="39"/>
      <c r="BY299" s="39"/>
      <c r="BZ299" s="39"/>
      <c r="CA299" s="39"/>
      <c r="CG299" s="39"/>
      <c r="CH299" s="39"/>
      <c r="CI299" s="39"/>
    </row>
    <row r="300" spans="2:87" ht="15.75" customHeight="1">
      <c r="B300" s="2"/>
      <c r="C300" s="10"/>
      <c r="F300" s="39"/>
      <c r="G300" s="39"/>
      <c r="H300" s="39"/>
      <c r="I300" s="39"/>
      <c r="M300" s="39"/>
      <c r="N300" s="39"/>
      <c r="O300" s="39"/>
      <c r="U300" s="39"/>
      <c r="V300" s="39"/>
      <c r="W300" s="39"/>
      <c r="AC300" s="39"/>
      <c r="AD300" s="39"/>
      <c r="AE300" s="39"/>
      <c r="AK300" s="39"/>
      <c r="AL300" s="39"/>
      <c r="AM300" s="39"/>
      <c r="AS300" s="39"/>
      <c r="AT300" s="39"/>
      <c r="AU300" s="39"/>
      <c r="AZ300" s="40"/>
      <c r="BA300" s="39"/>
      <c r="BB300" s="39"/>
      <c r="BC300" s="39"/>
      <c r="BI300" s="39"/>
      <c r="BJ300" s="39"/>
      <c r="BK300" s="39"/>
      <c r="BQ300" s="39"/>
      <c r="BR300" s="39"/>
      <c r="BS300" s="39"/>
      <c r="BY300" s="39"/>
      <c r="BZ300" s="39"/>
      <c r="CA300" s="39"/>
      <c r="CG300" s="39"/>
      <c r="CH300" s="39"/>
      <c r="CI300" s="39"/>
    </row>
    <row r="301" spans="2:87" ht="15.75" customHeight="1">
      <c r="B301" s="2"/>
      <c r="C301" s="10"/>
      <c r="F301" s="39"/>
      <c r="G301" s="39"/>
      <c r="H301" s="39"/>
      <c r="I301" s="39"/>
      <c r="M301" s="39"/>
      <c r="N301" s="39"/>
      <c r="O301" s="39"/>
      <c r="U301" s="39"/>
      <c r="V301" s="39"/>
      <c r="W301" s="39"/>
      <c r="AC301" s="39"/>
      <c r="AD301" s="39"/>
      <c r="AE301" s="39"/>
      <c r="AK301" s="39"/>
      <c r="AL301" s="39"/>
      <c r="AM301" s="39"/>
      <c r="AS301" s="39"/>
      <c r="AT301" s="39"/>
      <c r="AU301" s="39"/>
      <c r="AZ301" s="40"/>
      <c r="BA301" s="39"/>
      <c r="BB301" s="39"/>
      <c r="BC301" s="39"/>
      <c r="BI301" s="39"/>
      <c r="BJ301" s="39"/>
      <c r="BK301" s="39"/>
      <c r="BQ301" s="39"/>
      <c r="BR301" s="39"/>
      <c r="BS301" s="39"/>
      <c r="BY301" s="39"/>
      <c r="BZ301" s="39"/>
      <c r="CA301" s="39"/>
      <c r="CG301" s="39"/>
      <c r="CH301" s="39"/>
      <c r="CI301" s="39"/>
    </row>
    <row r="302" spans="2:87" ht="15.75" customHeight="1">
      <c r="B302" s="2"/>
      <c r="C302" s="10"/>
      <c r="F302" s="39"/>
      <c r="G302" s="39"/>
      <c r="H302" s="39"/>
      <c r="I302" s="39"/>
      <c r="M302" s="39"/>
      <c r="N302" s="39"/>
      <c r="O302" s="39"/>
      <c r="U302" s="39"/>
      <c r="V302" s="39"/>
      <c r="W302" s="39"/>
      <c r="AC302" s="39"/>
      <c r="AD302" s="39"/>
      <c r="AE302" s="39"/>
      <c r="AK302" s="39"/>
      <c r="AL302" s="39"/>
      <c r="AM302" s="39"/>
      <c r="AS302" s="39"/>
      <c r="AT302" s="39"/>
      <c r="AU302" s="39"/>
      <c r="AZ302" s="40"/>
      <c r="BA302" s="39"/>
      <c r="BB302" s="39"/>
      <c r="BC302" s="39"/>
      <c r="BI302" s="39"/>
      <c r="BJ302" s="39"/>
      <c r="BK302" s="39"/>
      <c r="BQ302" s="39"/>
      <c r="BR302" s="39"/>
      <c r="BS302" s="39"/>
      <c r="BY302" s="39"/>
      <c r="BZ302" s="39"/>
      <c r="CA302" s="39"/>
      <c r="CG302" s="39"/>
      <c r="CH302" s="39"/>
      <c r="CI302" s="39"/>
    </row>
    <row r="303" spans="2:87" ht="15.75" customHeight="1">
      <c r="B303" s="2"/>
      <c r="C303" s="10"/>
      <c r="F303" s="39"/>
      <c r="G303" s="39"/>
      <c r="H303" s="39"/>
      <c r="I303" s="39"/>
      <c r="M303" s="39"/>
      <c r="N303" s="39"/>
      <c r="O303" s="39"/>
      <c r="U303" s="39"/>
      <c r="V303" s="39"/>
      <c r="W303" s="39"/>
      <c r="AC303" s="39"/>
      <c r="AD303" s="39"/>
      <c r="AE303" s="39"/>
      <c r="AK303" s="39"/>
      <c r="AL303" s="39"/>
      <c r="AM303" s="39"/>
      <c r="AS303" s="39"/>
      <c r="AT303" s="39"/>
      <c r="AU303" s="39"/>
      <c r="AZ303" s="40"/>
      <c r="BA303" s="39"/>
      <c r="BB303" s="39"/>
      <c r="BC303" s="39"/>
      <c r="BI303" s="39"/>
      <c r="BJ303" s="39"/>
      <c r="BK303" s="39"/>
      <c r="BQ303" s="39"/>
      <c r="BR303" s="39"/>
      <c r="BS303" s="39"/>
      <c r="BY303" s="39"/>
      <c r="BZ303" s="39"/>
      <c r="CA303" s="39"/>
      <c r="CG303" s="39"/>
      <c r="CH303" s="39"/>
      <c r="CI303" s="39"/>
    </row>
    <row r="304" spans="2:87" ht="15.75" customHeight="1">
      <c r="B304" s="2"/>
      <c r="C304" s="10"/>
      <c r="F304" s="39"/>
      <c r="G304" s="39"/>
      <c r="H304" s="39"/>
      <c r="I304" s="39"/>
      <c r="M304" s="39"/>
      <c r="N304" s="39"/>
      <c r="O304" s="39"/>
      <c r="U304" s="39"/>
      <c r="V304" s="39"/>
      <c r="W304" s="39"/>
      <c r="AC304" s="39"/>
      <c r="AD304" s="39"/>
      <c r="AE304" s="39"/>
      <c r="AK304" s="39"/>
      <c r="AL304" s="39"/>
      <c r="AM304" s="39"/>
      <c r="AS304" s="39"/>
      <c r="AT304" s="39"/>
      <c r="AU304" s="39"/>
      <c r="AZ304" s="40"/>
      <c r="BA304" s="39"/>
      <c r="BB304" s="39"/>
      <c r="BC304" s="39"/>
      <c r="BI304" s="39"/>
      <c r="BJ304" s="39"/>
      <c r="BK304" s="39"/>
      <c r="BQ304" s="39"/>
      <c r="BR304" s="39"/>
      <c r="BS304" s="39"/>
      <c r="BY304" s="39"/>
      <c r="BZ304" s="39"/>
      <c r="CA304" s="39"/>
      <c r="CG304" s="39"/>
      <c r="CH304" s="39"/>
      <c r="CI304" s="39"/>
    </row>
    <row r="305" spans="2:87" ht="15.75" customHeight="1">
      <c r="B305" s="2"/>
      <c r="C305" s="10"/>
      <c r="F305" s="39"/>
      <c r="G305" s="39"/>
      <c r="H305" s="39"/>
      <c r="I305" s="39"/>
      <c r="M305" s="39"/>
      <c r="N305" s="39"/>
      <c r="O305" s="39"/>
      <c r="U305" s="39"/>
      <c r="V305" s="39"/>
      <c r="W305" s="39"/>
      <c r="AC305" s="39"/>
      <c r="AD305" s="39"/>
      <c r="AE305" s="39"/>
      <c r="AK305" s="39"/>
      <c r="AL305" s="39"/>
      <c r="AM305" s="39"/>
      <c r="AS305" s="39"/>
      <c r="AT305" s="39"/>
      <c r="AU305" s="39"/>
      <c r="AZ305" s="40"/>
      <c r="BA305" s="39"/>
      <c r="BB305" s="39"/>
      <c r="BC305" s="39"/>
      <c r="BI305" s="39"/>
      <c r="BJ305" s="39"/>
      <c r="BK305" s="39"/>
      <c r="BQ305" s="39"/>
      <c r="BR305" s="39"/>
      <c r="BS305" s="39"/>
      <c r="BY305" s="39"/>
      <c r="BZ305" s="39"/>
      <c r="CA305" s="39"/>
      <c r="CG305" s="39"/>
      <c r="CH305" s="39"/>
      <c r="CI305" s="39"/>
    </row>
    <row r="306" spans="2:87" ht="15.75" customHeight="1">
      <c r="B306" s="2"/>
      <c r="C306" s="10"/>
      <c r="F306" s="39"/>
      <c r="G306" s="39"/>
      <c r="H306" s="39"/>
      <c r="I306" s="39"/>
      <c r="M306" s="39"/>
      <c r="N306" s="39"/>
      <c r="O306" s="39"/>
      <c r="U306" s="39"/>
      <c r="V306" s="39"/>
      <c r="W306" s="39"/>
      <c r="AC306" s="39"/>
      <c r="AD306" s="39"/>
      <c r="AE306" s="39"/>
      <c r="AK306" s="39"/>
      <c r="AL306" s="39"/>
      <c r="AM306" s="39"/>
      <c r="AS306" s="39"/>
      <c r="AT306" s="39"/>
      <c r="AU306" s="39"/>
      <c r="AZ306" s="40"/>
      <c r="BA306" s="39"/>
      <c r="BB306" s="39"/>
      <c r="BC306" s="39"/>
      <c r="BI306" s="39"/>
      <c r="BJ306" s="39"/>
      <c r="BK306" s="39"/>
      <c r="BQ306" s="39"/>
      <c r="BR306" s="39"/>
      <c r="BS306" s="39"/>
      <c r="BY306" s="39"/>
      <c r="BZ306" s="39"/>
      <c r="CA306" s="39"/>
      <c r="CG306" s="39"/>
      <c r="CH306" s="39"/>
      <c r="CI306" s="39"/>
    </row>
    <row r="307" spans="2:87" ht="15.75" customHeight="1">
      <c r="B307" s="2"/>
      <c r="C307" s="10"/>
      <c r="F307" s="39"/>
      <c r="G307" s="39"/>
      <c r="H307" s="39"/>
      <c r="I307" s="39"/>
      <c r="M307" s="39"/>
      <c r="N307" s="39"/>
      <c r="O307" s="39"/>
      <c r="U307" s="39"/>
      <c r="V307" s="39"/>
      <c r="W307" s="39"/>
      <c r="AC307" s="39"/>
      <c r="AD307" s="39"/>
      <c r="AE307" s="39"/>
      <c r="AK307" s="39"/>
      <c r="AL307" s="39"/>
      <c r="AM307" s="39"/>
      <c r="AS307" s="39"/>
      <c r="AT307" s="39"/>
      <c r="AU307" s="39"/>
      <c r="AZ307" s="40"/>
      <c r="BA307" s="39"/>
      <c r="BB307" s="39"/>
      <c r="BC307" s="39"/>
      <c r="BI307" s="39"/>
      <c r="BJ307" s="39"/>
      <c r="BK307" s="39"/>
      <c r="BQ307" s="39"/>
      <c r="BR307" s="39"/>
      <c r="BS307" s="39"/>
      <c r="BY307" s="39"/>
      <c r="BZ307" s="39"/>
      <c r="CA307" s="39"/>
      <c r="CG307" s="39"/>
      <c r="CH307" s="39"/>
      <c r="CI307" s="39"/>
    </row>
    <row r="308" spans="2:87" ht="15.75" customHeight="1">
      <c r="B308" s="2"/>
      <c r="C308" s="10"/>
      <c r="F308" s="39"/>
      <c r="G308" s="39"/>
      <c r="H308" s="39"/>
      <c r="I308" s="39"/>
      <c r="M308" s="39"/>
      <c r="N308" s="39"/>
      <c r="O308" s="39"/>
      <c r="U308" s="39"/>
      <c r="V308" s="39"/>
      <c r="W308" s="39"/>
      <c r="AC308" s="39"/>
      <c r="AD308" s="39"/>
      <c r="AE308" s="39"/>
      <c r="AK308" s="39"/>
      <c r="AL308" s="39"/>
      <c r="AM308" s="39"/>
      <c r="AS308" s="39"/>
      <c r="AT308" s="39"/>
      <c r="AU308" s="39"/>
      <c r="AZ308" s="40"/>
      <c r="BA308" s="39"/>
      <c r="BB308" s="39"/>
      <c r="BC308" s="39"/>
      <c r="BI308" s="39"/>
      <c r="BJ308" s="39"/>
      <c r="BK308" s="39"/>
      <c r="BQ308" s="39"/>
      <c r="BR308" s="39"/>
      <c r="BS308" s="39"/>
      <c r="BY308" s="39"/>
      <c r="BZ308" s="39"/>
      <c r="CA308" s="39"/>
      <c r="CG308" s="39"/>
      <c r="CH308" s="39"/>
      <c r="CI308" s="39"/>
    </row>
    <row r="309" spans="2:87" ht="15.75" customHeight="1">
      <c r="B309" s="2"/>
      <c r="C309" s="10"/>
      <c r="F309" s="39"/>
      <c r="G309" s="39"/>
      <c r="H309" s="39"/>
      <c r="I309" s="39"/>
      <c r="M309" s="39"/>
      <c r="N309" s="39"/>
      <c r="O309" s="39"/>
      <c r="U309" s="39"/>
      <c r="V309" s="39"/>
      <c r="W309" s="39"/>
      <c r="AC309" s="39"/>
      <c r="AD309" s="39"/>
      <c r="AE309" s="39"/>
      <c r="AK309" s="39"/>
      <c r="AL309" s="39"/>
      <c r="AM309" s="39"/>
      <c r="AS309" s="39"/>
      <c r="AT309" s="39"/>
      <c r="AU309" s="39"/>
      <c r="AZ309" s="40"/>
      <c r="BA309" s="39"/>
      <c r="BB309" s="39"/>
      <c r="BC309" s="39"/>
      <c r="BI309" s="39"/>
      <c r="BJ309" s="39"/>
      <c r="BK309" s="39"/>
      <c r="BQ309" s="39"/>
      <c r="BR309" s="39"/>
      <c r="BS309" s="39"/>
      <c r="BY309" s="39"/>
      <c r="BZ309" s="39"/>
      <c r="CA309" s="39"/>
      <c r="CG309" s="39"/>
      <c r="CH309" s="39"/>
      <c r="CI309" s="39"/>
    </row>
    <row r="310" spans="2:87" ht="15.75" customHeight="1">
      <c r="B310" s="2"/>
      <c r="C310" s="10"/>
      <c r="F310" s="39"/>
      <c r="G310" s="39"/>
      <c r="H310" s="39"/>
      <c r="I310" s="39"/>
      <c r="M310" s="39"/>
      <c r="N310" s="39"/>
      <c r="O310" s="39"/>
      <c r="U310" s="39"/>
      <c r="V310" s="39"/>
      <c r="W310" s="39"/>
      <c r="AC310" s="39"/>
      <c r="AD310" s="39"/>
      <c r="AE310" s="39"/>
      <c r="AK310" s="39"/>
      <c r="AL310" s="39"/>
      <c r="AM310" s="39"/>
      <c r="AS310" s="39"/>
      <c r="AT310" s="39"/>
      <c r="AU310" s="39"/>
      <c r="AZ310" s="40"/>
      <c r="BA310" s="39"/>
      <c r="BB310" s="39"/>
      <c r="BC310" s="39"/>
      <c r="BI310" s="39"/>
      <c r="BJ310" s="39"/>
      <c r="BK310" s="39"/>
      <c r="BQ310" s="39"/>
      <c r="BR310" s="39"/>
      <c r="BS310" s="39"/>
      <c r="BY310" s="39"/>
      <c r="BZ310" s="39"/>
      <c r="CA310" s="39"/>
      <c r="CG310" s="39"/>
      <c r="CH310" s="39"/>
      <c r="CI310" s="39"/>
    </row>
    <row r="311" spans="2:87" ht="15.75" customHeight="1">
      <c r="B311" s="2"/>
      <c r="C311" s="10"/>
      <c r="F311" s="39"/>
      <c r="G311" s="39"/>
      <c r="H311" s="39"/>
      <c r="I311" s="39"/>
      <c r="M311" s="39"/>
      <c r="N311" s="39"/>
      <c r="O311" s="39"/>
      <c r="U311" s="39"/>
      <c r="V311" s="39"/>
      <c r="W311" s="39"/>
      <c r="AC311" s="39"/>
      <c r="AD311" s="39"/>
      <c r="AE311" s="39"/>
      <c r="AK311" s="39"/>
      <c r="AL311" s="39"/>
      <c r="AM311" s="39"/>
      <c r="AS311" s="39"/>
      <c r="AT311" s="39"/>
      <c r="AU311" s="39"/>
      <c r="AZ311" s="40"/>
      <c r="BA311" s="39"/>
      <c r="BB311" s="39"/>
      <c r="BC311" s="39"/>
      <c r="BI311" s="39"/>
      <c r="BJ311" s="39"/>
      <c r="BK311" s="39"/>
      <c r="BQ311" s="39"/>
      <c r="BR311" s="39"/>
      <c r="BS311" s="39"/>
      <c r="BY311" s="39"/>
      <c r="BZ311" s="39"/>
      <c r="CA311" s="39"/>
      <c r="CG311" s="39"/>
      <c r="CH311" s="39"/>
      <c r="CI311" s="39"/>
    </row>
    <row r="312" spans="2:87" ht="15.75" customHeight="1">
      <c r="B312" s="2"/>
      <c r="C312" s="10"/>
      <c r="F312" s="39"/>
      <c r="G312" s="39"/>
      <c r="H312" s="39"/>
      <c r="I312" s="39"/>
      <c r="M312" s="39"/>
      <c r="N312" s="39"/>
      <c r="O312" s="39"/>
      <c r="U312" s="39"/>
      <c r="V312" s="39"/>
      <c r="W312" s="39"/>
      <c r="AC312" s="39"/>
      <c r="AD312" s="39"/>
      <c r="AE312" s="39"/>
      <c r="AK312" s="39"/>
      <c r="AL312" s="39"/>
      <c r="AM312" s="39"/>
      <c r="AS312" s="39"/>
      <c r="AT312" s="39"/>
      <c r="AU312" s="39"/>
      <c r="AZ312" s="40"/>
      <c r="BA312" s="39"/>
      <c r="BB312" s="39"/>
      <c r="BC312" s="39"/>
      <c r="BI312" s="39"/>
      <c r="BJ312" s="39"/>
      <c r="BK312" s="39"/>
      <c r="BQ312" s="39"/>
      <c r="BR312" s="39"/>
      <c r="BS312" s="39"/>
      <c r="BY312" s="39"/>
      <c r="BZ312" s="39"/>
      <c r="CA312" s="39"/>
      <c r="CG312" s="39"/>
      <c r="CH312" s="39"/>
      <c r="CI312" s="39"/>
    </row>
    <row r="313" spans="2:87" ht="15.75" customHeight="1">
      <c r="B313" s="2"/>
      <c r="C313" s="10"/>
      <c r="F313" s="39"/>
      <c r="G313" s="39"/>
      <c r="H313" s="39"/>
      <c r="I313" s="39"/>
      <c r="M313" s="39"/>
      <c r="N313" s="39"/>
      <c r="O313" s="39"/>
      <c r="U313" s="39"/>
      <c r="V313" s="39"/>
      <c r="W313" s="39"/>
      <c r="AC313" s="39"/>
      <c r="AD313" s="39"/>
      <c r="AE313" s="39"/>
      <c r="AK313" s="39"/>
      <c r="AL313" s="39"/>
      <c r="AM313" s="39"/>
      <c r="AS313" s="39"/>
      <c r="AT313" s="39"/>
      <c r="AU313" s="39"/>
      <c r="AZ313" s="40"/>
      <c r="BA313" s="39"/>
      <c r="BB313" s="39"/>
      <c r="BC313" s="39"/>
      <c r="BI313" s="39"/>
      <c r="BJ313" s="39"/>
      <c r="BK313" s="39"/>
      <c r="BQ313" s="39"/>
      <c r="BR313" s="39"/>
      <c r="BS313" s="39"/>
      <c r="BY313" s="39"/>
      <c r="BZ313" s="39"/>
      <c r="CA313" s="39"/>
      <c r="CG313" s="39"/>
      <c r="CH313" s="39"/>
      <c r="CI313" s="39"/>
    </row>
    <row r="314" spans="2:87" ht="15.75" customHeight="1">
      <c r="B314" s="2"/>
      <c r="C314" s="10"/>
      <c r="F314" s="39"/>
      <c r="G314" s="39"/>
      <c r="H314" s="39"/>
      <c r="I314" s="39"/>
      <c r="M314" s="39"/>
      <c r="N314" s="39"/>
      <c r="O314" s="39"/>
      <c r="U314" s="39"/>
      <c r="V314" s="39"/>
      <c r="W314" s="39"/>
      <c r="AC314" s="39"/>
      <c r="AD314" s="39"/>
      <c r="AE314" s="39"/>
      <c r="AK314" s="39"/>
      <c r="AL314" s="39"/>
      <c r="AM314" s="39"/>
      <c r="AS314" s="39"/>
      <c r="AT314" s="39"/>
      <c r="AU314" s="39"/>
      <c r="AZ314" s="40"/>
      <c r="BA314" s="39"/>
      <c r="BB314" s="39"/>
      <c r="BC314" s="39"/>
      <c r="BI314" s="39"/>
      <c r="BJ314" s="39"/>
      <c r="BK314" s="39"/>
      <c r="BQ314" s="39"/>
      <c r="BR314" s="39"/>
      <c r="BS314" s="39"/>
      <c r="BY314" s="39"/>
      <c r="BZ314" s="39"/>
      <c r="CA314" s="39"/>
      <c r="CG314" s="39"/>
      <c r="CH314" s="39"/>
      <c r="CI314" s="39"/>
    </row>
    <row r="315" spans="2:87" ht="15.75" customHeight="1">
      <c r="B315" s="2"/>
      <c r="C315" s="10"/>
      <c r="F315" s="39"/>
      <c r="G315" s="39"/>
      <c r="H315" s="39"/>
      <c r="I315" s="39"/>
      <c r="M315" s="39"/>
      <c r="N315" s="39"/>
      <c r="O315" s="39"/>
      <c r="U315" s="39"/>
      <c r="V315" s="39"/>
      <c r="W315" s="39"/>
      <c r="AC315" s="39"/>
      <c r="AD315" s="39"/>
      <c r="AE315" s="39"/>
      <c r="AK315" s="39"/>
      <c r="AL315" s="39"/>
      <c r="AM315" s="39"/>
      <c r="AS315" s="39"/>
      <c r="AT315" s="39"/>
      <c r="AU315" s="39"/>
      <c r="AZ315" s="40"/>
      <c r="BA315" s="39"/>
      <c r="BB315" s="39"/>
      <c r="BC315" s="39"/>
      <c r="BI315" s="39"/>
      <c r="BJ315" s="39"/>
      <c r="BK315" s="39"/>
      <c r="BQ315" s="39"/>
      <c r="BR315" s="39"/>
      <c r="BS315" s="39"/>
      <c r="BY315" s="39"/>
      <c r="BZ315" s="39"/>
      <c r="CA315" s="39"/>
      <c r="CG315" s="39"/>
      <c r="CH315" s="39"/>
      <c r="CI315" s="39"/>
    </row>
    <row r="316" spans="2:87" ht="15.75" customHeight="1">
      <c r="B316" s="2"/>
      <c r="C316" s="10"/>
      <c r="F316" s="39"/>
      <c r="G316" s="39"/>
      <c r="H316" s="39"/>
      <c r="I316" s="39"/>
      <c r="M316" s="39"/>
      <c r="N316" s="39"/>
      <c r="O316" s="39"/>
      <c r="U316" s="39"/>
      <c r="V316" s="39"/>
      <c r="W316" s="39"/>
      <c r="AC316" s="39"/>
      <c r="AD316" s="39"/>
      <c r="AE316" s="39"/>
      <c r="AK316" s="39"/>
      <c r="AL316" s="39"/>
      <c r="AM316" s="39"/>
      <c r="AS316" s="39"/>
      <c r="AT316" s="39"/>
      <c r="AU316" s="39"/>
      <c r="AZ316" s="40"/>
      <c r="BA316" s="39"/>
      <c r="BB316" s="39"/>
      <c r="BC316" s="39"/>
      <c r="BI316" s="39"/>
      <c r="BJ316" s="39"/>
      <c r="BK316" s="39"/>
      <c r="BQ316" s="39"/>
      <c r="BR316" s="39"/>
      <c r="BS316" s="39"/>
      <c r="BY316" s="39"/>
      <c r="BZ316" s="39"/>
      <c r="CA316" s="39"/>
      <c r="CG316" s="39"/>
      <c r="CH316" s="39"/>
      <c r="CI316" s="39"/>
    </row>
    <row r="317" spans="2:87" ht="15.75" customHeight="1">
      <c r="B317" s="2"/>
      <c r="C317" s="10"/>
      <c r="F317" s="39"/>
      <c r="G317" s="39"/>
      <c r="H317" s="39"/>
      <c r="I317" s="39"/>
      <c r="M317" s="39"/>
      <c r="N317" s="39"/>
      <c r="O317" s="39"/>
      <c r="U317" s="39"/>
      <c r="V317" s="39"/>
      <c r="W317" s="39"/>
      <c r="AC317" s="39"/>
      <c r="AD317" s="39"/>
      <c r="AE317" s="39"/>
      <c r="AK317" s="39"/>
      <c r="AL317" s="39"/>
      <c r="AM317" s="39"/>
      <c r="AS317" s="39"/>
      <c r="AT317" s="39"/>
      <c r="AU317" s="39"/>
      <c r="AZ317" s="40"/>
      <c r="BA317" s="39"/>
      <c r="BB317" s="39"/>
      <c r="BC317" s="39"/>
      <c r="BI317" s="39"/>
      <c r="BJ317" s="39"/>
      <c r="BK317" s="39"/>
      <c r="BQ317" s="39"/>
      <c r="BR317" s="39"/>
      <c r="BS317" s="39"/>
      <c r="BY317" s="39"/>
      <c r="BZ317" s="39"/>
      <c r="CA317" s="39"/>
      <c r="CG317" s="39"/>
      <c r="CH317" s="39"/>
      <c r="CI317" s="39"/>
    </row>
    <row r="318" spans="2:87" ht="15.75" customHeight="1">
      <c r="B318" s="2"/>
      <c r="C318" s="10"/>
      <c r="F318" s="39"/>
      <c r="G318" s="39"/>
      <c r="H318" s="39"/>
      <c r="I318" s="39"/>
      <c r="M318" s="39"/>
      <c r="N318" s="39"/>
      <c r="O318" s="39"/>
      <c r="U318" s="39"/>
      <c r="V318" s="39"/>
      <c r="W318" s="39"/>
      <c r="AC318" s="39"/>
      <c r="AD318" s="39"/>
      <c r="AE318" s="39"/>
      <c r="AK318" s="39"/>
      <c r="AL318" s="39"/>
      <c r="AM318" s="39"/>
      <c r="AS318" s="39"/>
      <c r="AT318" s="39"/>
      <c r="AU318" s="39"/>
      <c r="AZ318" s="40"/>
      <c r="BA318" s="39"/>
      <c r="BB318" s="39"/>
      <c r="BC318" s="39"/>
      <c r="BI318" s="39"/>
      <c r="BJ318" s="39"/>
      <c r="BK318" s="39"/>
      <c r="BQ318" s="39"/>
      <c r="BR318" s="39"/>
      <c r="BS318" s="39"/>
      <c r="BY318" s="39"/>
      <c r="BZ318" s="39"/>
      <c r="CA318" s="39"/>
      <c r="CG318" s="39"/>
      <c r="CH318" s="39"/>
      <c r="CI318" s="39"/>
    </row>
    <row r="319" spans="2:87" ht="15.75" customHeight="1">
      <c r="B319" s="2"/>
      <c r="C319" s="10"/>
      <c r="F319" s="39"/>
      <c r="G319" s="39"/>
      <c r="H319" s="39"/>
      <c r="I319" s="39"/>
      <c r="M319" s="39"/>
      <c r="N319" s="39"/>
      <c r="O319" s="39"/>
      <c r="U319" s="39"/>
      <c r="V319" s="39"/>
      <c r="W319" s="39"/>
      <c r="AC319" s="39"/>
      <c r="AD319" s="39"/>
      <c r="AE319" s="39"/>
      <c r="AK319" s="39"/>
      <c r="AL319" s="39"/>
      <c r="AM319" s="39"/>
      <c r="AS319" s="39"/>
      <c r="AT319" s="39"/>
      <c r="AU319" s="39"/>
      <c r="AZ319" s="40"/>
      <c r="BA319" s="39"/>
      <c r="BB319" s="39"/>
      <c r="BC319" s="39"/>
      <c r="BI319" s="39"/>
      <c r="BJ319" s="39"/>
      <c r="BK319" s="39"/>
      <c r="BQ319" s="39"/>
      <c r="BR319" s="39"/>
      <c r="BS319" s="39"/>
      <c r="BY319" s="39"/>
      <c r="BZ319" s="39"/>
      <c r="CA319" s="39"/>
      <c r="CG319" s="39"/>
      <c r="CH319" s="39"/>
      <c r="CI319" s="39"/>
    </row>
    <row r="320" spans="2:87" ht="15.75" customHeight="1">
      <c r="B320" s="2"/>
      <c r="C320" s="10"/>
      <c r="F320" s="39"/>
      <c r="G320" s="39"/>
      <c r="H320" s="39"/>
      <c r="I320" s="39"/>
      <c r="M320" s="39"/>
      <c r="N320" s="39"/>
      <c r="O320" s="39"/>
      <c r="U320" s="39"/>
      <c r="V320" s="39"/>
      <c r="W320" s="39"/>
      <c r="AC320" s="39"/>
      <c r="AD320" s="39"/>
      <c r="AE320" s="39"/>
      <c r="AK320" s="39"/>
      <c r="AL320" s="39"/>
      <c r="AM320" s="39"/>
      <c r="AS320" s="39"/>
      <c r="AT320" s="39"/>
      <c r="AU320" s="39"/>
      <c r="AZ320" s="40"/>
      <c r="BA320" s="39"/>
      <c r="BB320" s="39"/>
      <c r="BC320" s="39"/>
      <c r="BI320" s="39"/>
      <c r="BJ320" s="39"/>
      <c r="BK320" s="39"/>
      <c r="BQ320" s="39"/>
      <c r="BR320" s="39"/>
      <c r="BS320" s="39"/>
      <c r="BY320" s="39"/>
      <c r="BZ320" s="39"/>
      <c r="CA320" s="39"/>
      <c r="CG320" s="39"/>
      <c r="CH320" s="39"/>
      <c r="CI320" s="39"/>
    </row>
    <row r="321" spans="2:87" ht="15.75" customHeight="1">
      <c r="B321" s="2"/>
      <c r="C321" s="10"/>
      <c r="F321" s="39"/>
      <c r="G321" s="39"/>
      <c r="H321" s="39"/>
      <c r="I321" s="39"/>
      <c r="M321" s="39"/>
      <c r="N321" s="39"/>
      <c r="O321" s="39"/>
      <c r="U321" s="39"/>
      <c r="V321" s="39"/>
      <c r="W321" s="39"/>
      <c r="AC321" s="39"/>
      <c r="AD321" s="39"/>
      <c r="AE321" s="39"/>
      <c r="AK321" s="39"/>
      <c r="AL321" s="39"/>
      <c r="AM321" s="39"/>
      <c r="AS321" s="39"/>
      <c r="AT321" s="39"/>
      <c r="AU321" s="39"/>
      <c r="AZ321" s="40"/>
      <c r="BA321" s="39"/>
      <c r="BB321" s="39"/>
      <c r="BC321" s="39"/>
      <c r="BI321" s="39"/>
      <c r="BJ321" s="39"/>
      <c r="BK321" s="39"/>
      <c r="BQ321" s="39"/>
      <c r="BR321" s="39"/>
      <c r="BS321" s="39"/>
      <c r="BY321" s="39"/>
      <c r="BZ321" s="39"/>
      <c r="CA321" s="39"/>
      <c r="CG321" s="39"/>
      <c r="CH321" s="39"/>
      <c r="CI321" s="39"/>
    </row>
    <row r="322" spans="2:87" ht="15.75" customHeight="1">
      <c r="B322" s="2"/>
      <c r="C322" s="10"/>
      <c r="F322" s="39"/>
      <c r="G322" s="39"/>
      <c r="H322" s="39"/>
      <c r="I322" s="39"/>
      <c r="M322" s="39"/>
      <c r="N322" s="39"/>
      <c r="O322" s="39"/>
      <c r="U322" s="39"/>
      <c r="V322" s="39"/>
      <c r="W322" s="39"/>
      <c r="AC322" s="39"/>
      <c r="AD322" s="39"/>
      <c r="AE322" s="39"/>
      <c r="AK322" s="39"/>
      <c r="AL322" s="39"/>
      <c r="AM322" s="39"/>
      <c r="AS322" s="39"/>
      <c r="AT322" s="39"/>
      <c r="AU322" s="39"/>
      <c r="AZ322" s="40"/>
      <c r="BA322" s="39"/>
      <c r="BB322" s="39"/>
      <c r="BC322" s="39"/>
      <c r="BI322" s="39"/>
      <c r="BJ322" s="39"/>
      <c r="BK322" s="39"/>
      <c r="BQ322" s="39"/>
      <c r="BR322" s="39"/>
      <c r="BS322" s="39"/>
      <c r="BY322" s="39"/>
      <c r="BZ322" s="39"/>
      <c r="CA322" s="39"/>
      <c r="CG322" s="39"/>
      <c r="CH322" s="39"/>
      <c r="CI322" s="39"/>
    </row>
    <row r="323" spans="2:87" ht="15.75" customHeight="1">
      <c r="B323" s="2"/>
      <c r="C323" s="10"/>
      <c r="F323" s="39"/>
      <c r="G323" s="39"/>
      <c r="H323" s="39"/>
      <c r="I323" s="39"/>
      <c r="M323" s="39"/>
      <c r="N323" s="39"/>
      <c r="O323" s="39"/>
      <c r="U323" s="39"/>
      <c r="V323" s="39"/>
      <c r="W323" s="39"/>
      <c r="AC323" s="39"/>
      <c r="AD323" s="39"/>
      <c r="AE323" s="39"/>
      <c r="AK323" s="39"/>
      <c r="AL323" s="39"/>
      <c r="AM323" s="39"/>
      <c r="AS323" s="39"/>
      <c r="AT323" s="39"/>
      <c r="AU323" s="39"/>
      <c r="AZ323" s="40"/>
      <c r="BA323" s="39"/>
      <c r="BB323" s="39"/>
      <c r="BC323" s="39"/>
      <c r="BI323" s="39"/>
      <c r="BJ323" s="39"/>
      <c r="BK323" s="39"/>
      <c r="BQ323" s="39"/>
      <c r="BR323" s="39"/>
      <c r="BS323" s="39"/>
      <c r="BY323" s="39"/>
      <c r="BZ323" s="39"/>
      <c r="CA323" s="39"/>
      <c r="CG323" s="39"/>
      <c r="CH323" s="39"/>
      <c r="CI323" s="39"/>
    </row>
    <row r="324" spans="2:87" ht="15.75" customHeight="1">
      <c r="B324" s="2"/>
      <c r="C324" s="10"/>
      <c r="F324" s="39"/>
      <c r="G324" s="39"/>
      <c r="H324" s="39"/>
      <c r="I324" s="39"/>
      <c r="M324" s="39"/>
      <c r="N324" s="39"/>
      <c r="O324" s="39"/>
      <c r="U324" s="39"/>
      <c r="V324" s="39"/>
      <c r="W324" s="39"/>
      <c r="AC324" s="39"/>
      <c r="AD324" s="39"/>
      <c r="AE324" s="39"/>
      <c r="AK324" s="39"/>
      <c r="AL324" s="39"/>
      <c r="AM324" s="39"/>
      <c r="AS324" s="39"/>
      <c r="AT324" s="39"/>
      <c r="AU324" s="39"/>
      <c r="AZ324" s="40"/>
      <c r="BA324" s="39"/>
      <c r="BB324" s="39"/>
      <c r="BC324" s="39"/>
      <c r="BI324" s="39"/>
      <c r="BJ324" s="39"/>
      <c r="BK324" s="39"/>
      <c r="BQ324" s="39"/>
      <c r="BR324" s="39"/>
      <c r="BS324" s="39"/>
      <c r="BY324" s="39"/>
      <c r="BZ324" s="39"/>
      <c r="CA324" s="39"/>
      <c r="CG324" s="39"/>
      <c r="CH324" s="39"/>
      <c r="CI324" s="39"/>
    </row>
    <row r="325" spans="2:87" ht="15.75" customHeight="1">
      <c r="B325" s="2"/>
      <c r="C325" s="10"/>
      <c r="F325" s="39"/>
      <c r="G325" s="39"/>
      <c r="H325" s="39"/>
      <c r="I325" s="39"/>
      <c r="M325" s="39"/>
      <c r="N325" s="39"/>
      <c r="O325" s="39"/>
      <c r="U325" s="39"/>
      <c r="V325" s="39"/>
      <c r="W325" s="39"/>
      <c r="AC325" s="39"/>
      <c r="AD325" s="39"/>
      <c r="AE325" s="39"/>
      <c r="AK325" s="39"/>
      <c r="AL325" s="39"/>
      <c r="AM325" s="39"/>
      <c r="AS325" s="39"/>
      <c r="AT325" s="39"/>
      <c r="AU325" s="39"/>
      <c r="AZ325" s="40"/>
      <c r="BA325" s="39"/>
      <c r="BB325" s="39"/>
      <c r="BC325" s="39"/>
      <c r="BI325" s="39"/>
      <c r="BJ325" s="39"/>
      <c r="BK325" s="39"/>
      <c r="BQ325" s="39"/>
      <c r="BR325" s="39"/>
      <c r="BS325" s="39"/>
      <c r="BY325" s="39"/>
      <c r="BZ325" s="39"/>
      <c r="CA325" s="39"/>
      <c r="CG325" s="39"/>
      <c r="CH325" s="39"/>
      <c r="CI325" s="39"/>
    </row>
    <row r="326" spans="2:87" ht="15.75" customHeight="1">
      <c r="B326" s="2"/>
      <c r="C326" s="10"/>
      <c r="F326" s="39"/>
      <c r="G326" s="39"/>
      <c r="H326" s="39"/>
      <c r="I326" s="39"/>
      <c r="M326" s="39"/>
      <c r="N326" s="39"/>
      <c r="O326" s="39"/>
      <c r="U326" s="39"/>
      <c r="V326" s="39"/>
      <c r="W326" s="39"/>
      <c r="AC326" s="39"/>
      <c r="AD326" s="39"/>
      <c r="AE326" s="39"/>
      <c r="AK326" s="39"/>
      <c r="AL326" s="39"/>
      <c r="AM326" s="39"/>
      <c r="AS326" s="39"/>
      <c r="AT326" s="39"/>
      <c r="AU326" s="39"/>
      <c r="AZ326" s="40"/>
      <c r="BA326" s="39"/>
      <c r="BB326" s="39"/>
      <c r="BC326" s="39"/>
      <c r="BI326" s="39"/>
      <c r="BJ326" s="39"/>
      <c r="BK326" s="39"/>
      <c r="BQ326" s="39"/>
      <c r="BR326" s="39"/>
      <c r="BS326" s="39"/>
      <c r="BY326" s="39"/>
      <c r="BZ326" s="39"/>
      <c r="CA326" s="39"/>
      <c r="CG326" s="39"/>
      <c r="CH326" s="39"/>
      <c r="CI326" s="39"/>
    </row>
    <row r="327" spans="2:87" ht="15.75" customHeight="1">
      <c r="B327" s="2"/>
      <c r="C327" s="10"/>
      <c r="F327" s="39"/>
      <c r="G327" s="39"/>
      <c r="H327" s="39"/>
      <c r="I327" s="39"/>
      <c r="M327" s="39"/>
      <c r="N327" s="39"/>
      <c r="O327" s="39"/>
      <c r="U327" s="39"/>
      <c r="V327" s="39"/>
      <c r="W327" s="39"/>
      <c r="AC327" s="39"/>
      <c r="AD327" s="39"/>
      <c r="AE327" s="39"/>
      <c r="AK327" s="39"/>
      <c r="AL327" s="39"/>
      <c r="AM327" s="39"/>
      <c r="AS327" s="39"/>
      <c r="AT327" s="39"/>
      <c r="AU327" s="39"/>
      <c r="AZ327" s="40"/>
      <c r="BA327" s="39"/>
      <c r="BB327" s="39"/>
      <c r="BC327" s="39"/>
      <c r="BI327" s="39"/>
      <c r="BJ327" s="39"/>
      <c r="BK327" s="39"/>
      <c r="BQ327" s="39"/>
      <c r="BR327" s="39"/>
      <c r="BS327" s="39"/>
      <c r="BY327" s="39"/>
      <c r="BZ327" s="39"/>
      <c r="CA327" s="39"/>
      <c r="CG327" s="39"/>
      <c r="CH327" s="39"/>
      <c r="CI327" s="39"/>
    </row>
    <row r="328" spans="2:87" ht="15.75" customHeight="1">
      <c r="B328" s="2"/>
      <c r="C328" s="10"/>
      <c r="F328" s="39"/>
      <c r="G328" s="39"/>
      <c r="H328" s="39"/>
      <c r="I328" s="39"/>
      <c r="M328" s="39"/>
      <c r="N328" s="39"/>
      <c r="O328" s="39"/>
      <c r="U328" s="39"/>
      <c r="V328" s="39"/>
      <c r="W328" s="39"/>
      <c r="AC328" s="39"/>
      <c r="AD328" s="39"/>
      <c r="AE328" s="39"/>
      <c r="AK328" s="39"/>
      <c r="AL328" s="39"/>
      <c r="AM328" s="39"/>
      <c r="AS328" s="39"/>
      <c r="AT328" s="39"/>
      <c r="AU328" s="39"/>
      <c r="AZ328" s="40"/>
      <c r="BA328" s="39"/>
      <c r="BB328" s="39"/>
      <c r="BC328" s="39"/>
      <c r="BI328" s="39"/>
      <c r="BJ328" s="39"/>
      <c r="BK328" s="39"/>
      <c r="BQ328" s="39"/>
      <c r="BR328" s="39"/>
      <c r="BS328" s="39"/>
      <c r="BY328" s="39"/>
      <c r="BZ328" s="39"/>
      <c r="CA328" s="39"/>
      <c r="CG328" s="39"/>
      <c r="CH328" s="39"/>
      <c r="CI328" s="39"/>
    </row>
    <row r="329" spans="2:87" ht="15.75" customHeight="1">
      <c r="B329" s="2"/>
      <c r="C329" s="10"/>
      <c r="F329" s="39"/>
      <c r="G329" s="39"/>
      <c r="H329" s="39"/>
      <c r="I329" s="39"/>
      <c r="M329" s="39"/>
      <c r="N329" s="39"/>
      <c r="O329" s="39"/>
      <c r="U329" s="39"/>
      <c r="V329" s="39"/>
      <c r="W329" s="39"/>
      <c r="AC329" s="39"/>
      <c r="AD329" s="39"/>
      <c r="AE329" s="39"/>
      <c r="AK329" s="39"/>
      <c r="AL329" s="39"/>
      <c r="AM329" s="39"/>
      <c r="AS329" s="39"/>
      <c r="AT329" s="39"/>
      <c r="AU329" s="39"/>
      <c r="AZ329" s="40"/>
      <c r="BA329" s="39"/>
      <c r="BB329" s="39"/>
      <c r="BC329" s="39"/>
      <c r="BI329" s="39"/>
      <c r="BJ329" s="39"/>
      <c r="BK329" s="39"/>
      <c r="BQ329" s="39"/>
      <c r="BR329" s="39"/>
      <c r="BS329" s="39"/>
      <c r="BY329" s="39"/>
      <c r="BZ329" s="39"/>
      <c r="CA329" s="39"/>
      <c r="CG329" s="39"/>
      <c r="CH329" s="39"/>
      <c r="CI329" s="39"/>
    </row>
    <row r="330" spans="2:87" ht="15.75" customHeight="1">
      <c r="B330" s="2"/>
      <c r="C330" s="10"/>
      <c r="F330" s="39"/>
      <c r="G330" s="39"/>
      <c r="H330" s="39"/>
      <c r="I330" s="39"/>
      <c r="M330" s="39"/>
      <c r="N330" s="39"/>
      <c r="O330" s="39"/>
      <c r="U330" s="39"/>
      <c r="V330" s="39"/>
      <c r="W330" s="39"/>
      <c r="AC330" s="39"/>
      <c r="AD330" s="39"/>
      <c r="AE330" s="39"/>
      <c r="AK330" s="39"/>
      <c r="AL330" s="39"/>
      <c r="AM330" s="39"/>
      <c r="AS330" s="39"/>
      <c r="AT330" s="39"/>
      <c r="AU330" s="39"/>
      <c r="AZ330" s="40"/>
      <c r="BA330" s="39"/>
      <c r="BB330" s="39"/>
      <c r="BC330" s="39"/>
      <c r="BI330" s="39"/>
      <c r="BJ330" s="39"/>
      <c r="BK330" s="39"/>
      <c r="BQ330" s="39"/>
      <c r="BR330" s="39"/>
      <c r="BS330" s="39"/>
      <c r="BY330" s="39"/>
      <c r="BZ330" s="39"/>
      <c r="CA330" s="39"/>
      <c r="CG330" s="39"/>
      <c r="CH330" s="39"/>
      <c r="CI330" s="39"/>
    </row>
    <row r="331" spans="2:87" ht="15.75" customHeight="1">
      <c r="B331" s="2"/>
      <c r="C331" s="10"/>
      <c r="F331" s="39"/>
      <c r="G331" s="39"/>
      <c r="H331" s="39"/>
      <c r="I331" s="39"/>
      <c r="M331" s="39"/>
      <c r="N331" s="39"/>
      <c r="O331" s="39"/>
      <c r="U331" s="39"/>
      <c r="V331" s="39"/>
      <c r="W331" s="39"/>
      <c r="AC331" s="39"/>
      <c r="AD331" s="39"/>
      <c r="AE331" s="39"/>
      <c r="AK331" s="39"/>
      <c r="AL331" s="39"/>
      <c r="AM331" s="39"/>
      <c r="AS331" s="39"/>
      <c r="AT331" s="39"/>
      <c r="AU331" s="39"/>
      <c r="AZ331" s="40"/>
      <c r="BA331" s="39"/>
      <c r="BB331" s="39"/>
      <c r="BC331" s="39"/>
      <c r="BI331" s="39"/>
      <c r="BJ331" s="39"/>
      <c r="BK331" s="39"/>
      <c r="BQ331" s="39"/>
      <c r="BR331" s="39"/>
      <c r="BS331" s="39"/>
      <c r="BY331" s="39"/>
      <c r="BZ331" s="39"/>
      <c r="CA331" s="39"/>
      <c r="CG331" s="39"/>
      <c r="CH331" s="39"/>
      <c r="CI331" s="39"/>
    </row>
    <row r="332" spans="2:87" ht="15.75" customHeight="1">
      <c r="B332" s="2"/>
      <c r="C332" s="10"/>
      <c r="F332" s="39"/>
      <c r="G332" s="39"/>
      <c r="H332" s="39"/>
      <c r="I332" s="39"/>
      <c r="M332" s="39"/>
      <c r="N332" s="39"/>
      <c r="O332" s="39"/>
      <c r="U332" s="39"/>
      <c r="V332" s="39"/>
      <c r="W332" s="39"/>
      <c r="AC332" s="39"/>
      <c r="AD332" s="39"/>
      <c r="AE332" s="39"/>
      <c r="AK332" s="39"/>
      <c r="AL332" s="39"/>
      <c r="AM332" s="39"/>
      <c r="AS332" s="39"/>
      <c r="AT332" s="39"/>
      <c r="AU332" s="39"/>
      <c r="AZ332" s="40"/>
      <c r="BA332" s="39"/>
      <c r="BB332" s="39"/>
      <c r="BC332" s="39"/>
      <c r="BI332" s="39"/>
      <c r="BJ332" s="39"/>
      <c r="BK332" s="39"/>
      <c r="BQ332" s="39"/>
      <c r="BR332" s="39"/>
      <c r="BS332" s="39"/>
      <c r="BY332" s="39"/>
      <c r="BZ332" s="39"/>
      <c r="CA332" s="39"/>
      <c r="CG332" s="39"/>
      <c r="CH332" s="39"/>
      <c r="CI332" s="39"/>
    </row>
    <row r="333" spans="2:87" ht="15.75" customHeight="1">
      <c r="B333" s="2"/>
      <c r="C333" s="10"/>
      <c r="F333" s="39"/>
      <c r="G333" s="39"/>
      <c r="H333" s="39"/>
      <c r="I333" s="39"/>
      <c r="M333" s="39"/>
      <c r="N333" s="39"/>
      <c r="O333" s="39"/>
      <c r="U333" s="39"/>
      <c r="V333" s="39"/>
      <c r="W333" s="39"/>
      <c r="AC333" s="39"/>
      <c r="AD333" s="39"/>
      <c r="AE333" s="39"/>
      <c r="AK333" s="39"/>
      <c r="AL333" s="39"/>
      <c r="AM333" s="39"/>
      <c r="AS333" s="39"/>
      <c r="AT333" s="39"/>
      <c r="AU333" s="39"/>
      <c r="AZ333" s="40"/>
      <c r="BA333" s="39"/>
      <c r="BB333" s="39"/>
      <c r="BC333" s="39"/>
      <c r="BI333" s="39"/>
      <c r="BJ333" s="39"/>
      <c r="BK333" s="39"/>
      <c r="BQ333" s="39"/>
      <c r="BR333" s="39"/>
      <c r="BS333" s="39"/>
      <c r="BY333" s="39"/>
      <c r="BZ333" s="39"/>
      <c r="CA333" s="39"/>
      <c r="CG333" s="39"/>
      <c r="CH333" s="39"/>
      <c r="CI333" s="39"/>
    </row>
    <row r="334" spans="2:87" ht="15.75" customHeight="1">
      <c r="B334" s="2"/>
      <c r="C334" s="10"/>
      <c r="F334" s="39"/>
      <c r="G334" s="39"/>
      <c r="H334" s="39"/>
      <c r="I334" s="39"/>
      <c r="M334" s="39"/>
      <c r="N334" s="39"/>
      <c r="O334" s="39"/>
      <c r="U334" s="39"/>
      <c r="V334" s="39"/>
      <c r="W334" s="39"/>
      <c r="AC334" s="39"/>
      <c r="AD334" s="39"/>
      <c r="AE334" s="39"/>
      <c r="AK334" s="39"/>
      <c r="AL334" s="39"/>
      <c r="AM334" s="39"/>
      <c r="AS334" s="39"/>
      <c r="AT334" s="39"/>
      <c r="AU334" s="39"/>
      <c r="AZ334" s="40"/>
      <c r="BA334" s="39"/>
      <c r="BB334" s="39"/>
      <c r="BC334" s="39"/>
      <c r="BI334" s="39"/>
      <c r="BJ334" s="39"/>
      <c r="BK334" s="39"/>
      <c r="BQ334" s="39"/>
      <c r="BR334" s="39"/>
      <c r="BS334" s="39"/>
      <c r="BY334" s="39"/>
      <c r="BZ334" s="39"/>
      <c r="CA334" s="39"/>
      <c r="CG334" s="39"/>
      <c r="CH334" s="39"/>
      <c r="CI334" s="39"/>
    </row>
    <row r="335" spans="2:87" ht="15.75" customHeight="1">
      <c r="B335" s="2"/>
      <c r="C335" s="10"/>
      <c r="F335" s="39"/>
      <c r="G335" s="39"/>
      <c r="H335" s="39"/>
      <c r="I335" s="39"/>
      <c r="M335" s="39"/>
      <c r="N335" s="39"/>
      <c r="O335" s="39"/>
      <c r="U335" s="39"/>
      <c r="V335" s="39"/>
      <c r="W335" s="39"/>
      <c r="AC335" s="39"/>
      <c r="AD335" s="39"/>
      <c r="AE335" s="39"/>
      <c r="AK335" s="39"/>
      <c r="AL335" s="39"/>
      <c r="AM335" s="39"/>
      <c r="AS335" s="39"/>
      <c r="AT335" s="39"/>
      <c r="AU335" s="39"/>
      <c r="AZ335" s="40"/>
      <c r="BA335" s="39"/>
      <c r="BB335" s="39"/>
      <c r="BC335" s="39"/>
      <c r="BI335" s="39"/>
      <c r="BJ335" s="39"/>
      <c r="BK335" s="39"/>
      <c r="BQ335" s="39"/>
      <c r="BR335" s="39"/>
      <c r="BS335" s="39"/>
      <c r="BY335" s="39"/>
      <c r="BZ335" s="39"/>
      <c r="CA335" s="39"/>
      <c r="CG335" s="39"/>
      <c r="CH335" s="39"/>
      <c r="CI335" s="39"/>
    </row>
    <row r="336" spans="2:87" ht="15.75" customHeight="1">
      <c r="B336" s="2"/>
      <c r="C336" s="10"/>
      <c r="F336" s="39"/>
      <c r="G336" s="39"/>
      <c r="H336" s="39"/>
      <c r="I336" s="39"/>
      <c r="M336" s="39"/>
      <c r="N336" s="39"/>
      <c r="O336" s="39"/>
      <c r="U336" s="39"/>
      <c r="V336" s="39"/>
      <c r="W336" s="39"/>
      <c r="AC336" s="39"/>
      <c r="AD336" s="39"/>
      <c r="AE336" s="39"/>
      <c r="AK336" s="39"/>
      <c r="AL336" s="39"/>
      <c r="AM336" s="39"/>
      <c r="AS336" s="39"/>
      <c r="AT336" s="39"/>
      <c r="AU336" s="39"/>
      <c r="AZ336" s="40"/>
      <c r="BA336" s="39"/>
      <c r="BB336" s="39"/>
      <c r="BC336" s="39"/>
      <c r="BI336" s="39"/>
      <c r="BJ336" s="39"/>
      <c r="BK336" s="39"/>
      <c r="BQ336" s="39"/>
      <c r="BR336" s="39"/>
      <c r="BS336" s="39"/>
      <c r="BY336" s="39"/>
      <c r="BZ336" s="39"/>
      <c r="CA336" s="39"/>
      <c r="CG336" s="39"/>
      <c r="CH336" s="39"/>
      <c r="CI336" s="39"/>
    </row>
    <row r="337" spans="2:87" ht="15.75" customHeight="1">
      <c r="B337" s="2"/>
      <c r="C337" s="10"/>
      <c r="F337" s="39"/>
      <c r="G337" s="39"/>
      <c r="H337" s="39"/>
      <c r="I337" s="39"/>
      <c r="M337" s="39"/>
      <c r="N337" s="39"/>
      <c r="O337" s="39"/>
      <c r="U337" s="39"/>
      <c r="V337" s="39"/>
      <c r="W337" s="39"/>
      <c r="AC337" s="39"/>
      <c r="AD337" s="39"/>
      <c r="AE337" s="39"/>
      <c r="AK337" s="39"/>
      <c r="AL337" s="39"/>
      <c r="AM337" s="39"/>
      <c r="AS337" s="39"/>
      <c r="AT337" s="39"/>
      <c r="AU337" s="39"/>
      <c r="AZ337" s="40"/>
      <c r="BA337" s="39"/>
      <c r="BB337" s="39"/>
      <c r="BC337" s="39"/>
      <c r="BI337" s="39"/>
      <c r="BJ337" s="39"/>
      <c r="BK337" s="39"/>
      <c r="BQ337" s="39"/>
      <c r="BR337" s="39"/>
      <c r="BS337" s="39"/>
      <c r="BY337" s="39"/>
      <c r="BZ337" s="39"/>
      <c r="CA337" s="39"/>
      <c r="CG337" s="39"/>
      <c r="CH337" s="39"/>
      <c r="CI337" s="39"/>
    </row>
    <row r="338" spans="2:87" ht="15.75" customHeight="1">
      <c r="B338" s="2"/>
      <c r="C338" s="10"/>
      <c r="F338" s="39"/>
      <c r="G338" s="39"/>
      <c r="H338" s="39"/>
      <c r="I338" s="39"/>
      <c r="M338" s="39"/>
      <c r="N338" s="39"/>
      <c r="O338" s="39"/>
      <c r="U338" s="39"/>
      <c r="V338" s="39"/>
      <c r="W338" s="39"/>
      <c r="AC338" s="39"/>
      <c r="AD338" s="39"/>
      <c r="AE338" s="39"/>
      <c r="AK338" s="39"/>
      <c r="AL338" s="39"/>
      <c r="AM338" s="39"/>
      <c r="AS338" s="39"/>
      <c r="AT338" s="39"/>
      <c r="AU338" s="39"/>
      <c r="AZ338" s="40"/>
      <c r="BA338" s="39"/>
      <c r="BB338" s="39"/>
      <c r="BC338" s="39"/>
      <c r="BI338" s="39"/>
      <c r="BJ338" s="39"/>
      <c r="BK338" s="39"/>
      <c r="BQ338" s="39"/>
      <c r="BR338" s="39"/>
      <c r="BS338" s="39"/>
      <c r="BY338" s="39"/>
      <c r="BZ338" s="39"/>
      <c r="CA338" s="39"/>
      <c r="CG338" s="39"/>
      <c r="CH338" s="39"/>
      <c r="CI338" s="39"/>
    </row>
    <row r="339" spans="2:87" ht="15.75" customHeight="1">
      <c r="B339" s="2"/>
      <c r="C339" s="10"/>
      <c r="F339" s="39"/>
      <c r="G339" s="39"/>
      <c r="H339" s="39"/>
      <c r="I339" s="39"/>
      <c r="M339" s="39"/>
      <c r="N339" s="39"/>
      <c r="O339" s="39"/>
      <c r="U339" s="39"/>
      <c r="V339" s="39"/>
      <c r="W339" s="39"/>
      <c r="AC339" s="39"/>
      <c r="AD339" s="39"/>
      <c r="AE339" s="39"/>
      <c r="AK339" s="39"/>
      <c r="AL339" s="39"/>
      <c r="AM339" s="39"/>
      <c r="AS339" s="39"/>
      <c r="AT339" s="39"/>
      <c r="AU339" s="39"/>
      <c r="AZ339" s="40"/>
      <c r="BA339" s="39"/>
      <c r="BB339" s="39"/>
      <c r="BC339" s="39"/>
      <c r="BI339" s="39"/>
      <c r="BJ339" s="39"/>
      <c r="BK339" s="39"/>
      <c r="BQ339" s="39"/>
      <c r="BR339" s="39"/>
      <c r="BS339" s="39"/>
      <c r="BY339" s="39"/>
      <c r="BZ339" s="39"/>
      <c r="CA339" s="39"/>
      <c r="CG339" s="39"/>
      <c r="CH339" s="39"/>
      <c r="CI339" s="39"/>
    </row>
    <row r="340" spans="2:87" ht="15.75" customHeight="1">
      <c r="B340" s="2"/>
      <c r="C340" s="10"/>
      <c r="F340" s="39"/>
      <c r="G340" s="39"/>
      <c r="H340" s="39"/>
      <c r="I340" s="39"/>
      <c r="M340" s="39"/>
      <c r="N340" s="39"/>
      <c r="O340" s="39"/>
      <c r="U340" s="39"/>
      <c r="V340" s="39"/>
      <c r="W340" s="39"/>
      <c r="AC340" s="39"/>
      <c r="AD340" s="39"/>
      <c r="AE340" s="39"/>
      <c r="AK340" s="39"/>
      <c r="AL340" s="39"/>
      <c r="AM340" s="39"/>
      <c r="AS340" s="39"/>
      <c r="AT340" s="39"/>
      <c r="AU340" s="39"/>
      <c r="AZ340" s="40"/>
      <c r="BA340" s="39"/>
      <c r="BB340" s="39"/>
      <c r="BC340" s="39"/>
      <c r="BI340" s="39"/>
      <c r="BJ340" s="39"/>
      <c r="BK340" s="39"/>
      <c r="BQ340" s="39"/>
      <c r="BR340" s="39"/>
      <c r="BS340" s="39"/>
      <c r="BY340" s="39"/>
      <c r="BZ340" s="39"/>
      <c r="CA340" s="39"/>
      <c r="CG340" s="39"/>
      <c r="CH340" s="39"/>
      <c r="CI340" s="39"/>
    </row>
    <row r="341" spans="2:87" ht="15.75" customHeight="1">
      <c r="B341" s="2"/>
      <c r="C341" s="10"/>
      <c r="F341" s="39"/>
      <c r="G341" s="39"/>
      <c r="H341" s="39"/>
      <c r="I341" s="39"/>
      <c r="M341" s="39"/>
      <c r="N341" s="39"/>
      <c r="O341" s="39"/>
      <c r="U341" s="39"/>
      <c r="V341" s="39"/>
      <c r="W341" s="39"/>
      <c r="AC341" s="39"/>
      <c r="AD341" s="39"/>
      <c r="AE341" s="39"/>
      <c r="AK341" s="39"/>
      <c r="AL341" s="39"/>
      <c r="AM341" s="39"/>
      <c r="AS341" s="39"/>
      <c r="AT341" s="39"/>
      <c r="AU341" s="39"/>
      <c r="AZ341" s="40"/>
      <c r="BA341" s="39"/>
      <c r="BB341" s="39"/>
      <c r="BC341" s="39"/>
      <c r="BI341" s="39"/>
      <c r="BJ341" s="39"/>
      <c r="BK341" s="39"/>
      <c r="BQ341" s="39"/>
      <c r="BR341" s="39"/>
      <c r="BS341" s="39"/>
      <c r="BY341" s="39"/>
      <c r="BZ341" s="39"/>
      <c r="CA341" s="39"/>
      <c r="CG341" s="39"/>
      <c r="CH341" s="39"/>
      <c r="CI341" s="39"/>
    </row>
    <row r="342" spans="2:87" ht="15.75" customHeight="1">
      <c r="B342" s="2"/>
      <c r="C342" s="10"/>
      <c r="F342" s="39"/>
      <c r="G342" s="39"/>
      <c r="H342" s="39"/>
      <c r="I342" s="39"/>
      <c r="M342" s="39"/>
      <c r="N342" s="39"/>
      <c r="O342" s="39"/>
      <c r="U342" s="39"/>
      <c r="V342" s="39"/>
      <c r="W342" s="39"/>
      <c r="AC342" s="39"/>
      <c r="AD342" s="39"/>
      <c r="AE342" s="39"/>
      <c r="AK342" s="39"/>
      <c r="AL342" s="39"/>
      <c r="AM342" s="39"/>
      <c r="AS342" s="39"/>
      <c r="AT342" s="39"/>
      <c r="AU342" s="39"/>
      <c r="AZ342" s="40"/>
      <c r="BA342" s="39"/>
      <c r="BB342" s="39"/>
      <c r="BC342" s="39"/>
      <c r="BI342" s="39"/>
      <c r="BJ342" s="39"/>
      <c r="BK342" s="39"/>
      <c r="BQ342" s="39"/>
      <c r="BR342" s="39"/>
      <c r="BS342" s="39"/>
      <c r="BY342" s="39"/>
      <c r="BZ342" s="39"/>
      <c r="CA342" s="39"/>
      <c r="CG342" s="39"/>
      <c r="CH342" s="39"/>
      <c r="CI342" s="39"/>
    </row>
    <row r="343" spans="2:87" ht="15.75" customHeight="1">
      <c r="B343" s="2"/>
      <c r="C343" s="10"/>
      <c r="F343" s="39"/>
      <c r="G343" s="39"/>
      <c r="H343" s="39"/>
      <c r="I343" s="39"/>
      <c r="M343" s="39"/>
      <c r="N343" s="39"/>
      <c r="O343" s="39"/>
      <c r="U343" s="39"/>
      <c r="V343" s="39"/>
      <c r="W343" s="39"/>
      <c r="AC343" s="39"/>
      <c r="AD343" s="39"/>
      <c r="AE343" s="39"/>
      <c r="AK343" s="39"/>
      <c r="AL343" s="39"/>
      <c r="AM343" s="39"/>
      <c r="AS343" s="39"/>
      <c r="AT343" s="39"/>
      <c r="AU343" s="39"/>
      <c r="AZ343" s="40"/>
      <c r="BA343" s="39"/>
      <c r="BB343" s="39"/>
      <c r="BC343" s="39"/>
      <c r="BI343" s="39"/>
      <c r="BJ343" s="39"/>
      <c r="BK343" s="39"/>
      <c r="BQ343" s="39"/>
      <c r="BR343" s="39"/>
      <c r="BS343" s="39"/>
      <c r="BY343" s="39"/>
      <c r="BZ343" s="39"/>
      <c r="CA343" s="39"/>
      <c r="CG343" s="39"/>
      <c r="CH343" s="39"/>
      <c r="CI343" s="39"/>
    </row>
    <row r="344" spans="2:87" ht="15.75" customHeight="1">
      <c r="B344" s="2"/>
      <c r="C344" s="10"/>
      <c r="F344" s="39"/>
      <c r="G344" s="39"/>
      <c r="H344" s="39"/>
      <c r="I344" s="39"/>
      <c r="M344" s="39"/>
      <c r="N344" s="39"/>
      <c r="O344" s="39"/>
      <c r="U344" s="39"/>
      <c r="V344" s="39"/>
      <c r="W344" s="39"/>
      <c r="AC344" s="39"/>
      <c r="AD344" s="39"/>
      <c r="AE344" s="39"/>
      <c r="AK344" s="39"/>
      <c r="AL344" s="39"/>
      <c r="AM344" s="39"/>
      <c r="AS344" s="39"/>
      <c r="AT344" s="39"/>
      <c r="AU344" s="39"/>
      <c r="AZ344" s="40"/>
      <c r="BA344" s="39"/>
      <c r="BB344" s="39"/>
      <c r="BC344" s="39"/>
      <c r="BI344" s="39"/>
      <c r="BJ344" s="39"/>
      <c r="BK344" s="39"/>
      <c r="BQ344" s="39"/>
      <c r="BR344" s="39"/>
      <c r="BS344" s="39"/>
      <c r="BY344" s="39"/>
      <c r="BZ344" s="39"/>
      <c r="CA344" s="39"/>
      <c r="CG344" s="39"/>
      <c r="CH344" s="39"/>
      <c r="CI344" s="39"/>
    </row>
    <row r="345" spans="2:87" ht="15.75" customHeight="1">
      <c r="B345" s="2"/>
      <c r="C345" s="10"/>
      <c r="F345" s="39"/>
      <c r="G345" s="39"/>
      <c r="H345" s="39"/>
      <c r="I345" s="39"/>
      <c r="M345" s="39"/>
      <c r="N345" s="39"/>
      <c r="O345" s="39"/>
      <c r="U345" s="39"/>
      <c r="V345" s="39"/>
      <c r="W345" s="39"/>
      <c r="AC345" s="39"/>
      <c r="AD345" s="39"/>
      <c r="AE345" s="39"/>
      <c r="AK345" s="39"/>
      <c r="AL345" s="39"/>
      <c r="AM345" s="39"/>
      <c r="AS345" s="39"/>
      <c r="AT345" s="39"/>
      <c r="AU345" s="39"/>
      <c r="AZ345" s="40"/>
      <c r="BA345" s="39"/>
      <c r="BB345" s="39"/>
      <c r="BC345" s="39"/>
      <c r="BI345" s="39"/>
      <c r="BJ345" s="39"/>
      <c r="BK345" s="39"/>
      <c r="BQ345" s="39"/>
      <c r="BR345" s="39"/>
      <c r="BS345" s="39"/>
      <c r="BY345" s="39"/>
      <c r="BZ345" s="39"/>
      <c r="CA345" s="39"/>
      <c r="CG345" s="39"/>
      <c r="CH345" s="39"/>
      <c r="CI345" s="39"/>
    </row>
    <row r="346" spans="2:87" ht="15.75" customHeight="1">
      <c r="B346" s="2"/>
      <c r="C346" s="10"/>
      <c r="F346" s="39"/>
      <c r="G346" s="39"/>
      <c r="H346" s="39"/>
      <c r="I346" s="39"/>
      <c r="M346" s="39"/>
      <c r="N346" s="39"/>
      <c r="O346" s="39"/>
      <c r="U346" s="39"/>
      <c r="V346" s="39"/>
      <c r="W346" s="39"/>
      <c r="AC346" s="39"/>
      <c r="AD346" s="39"/>
      <c r="AE346" s="39"/>
      <c r="AK346" s="39"/>
      <c r="AL346" s="39"/>
      <c r="AM346" s="39"/>
      <c r="AS346" s="39"/>
      <c r="AT346" s="39"/>
      <c r="AU346" s="39"/>
      <c r="AZ346" s="40"/>
      <c r="BA346" s="39"/>
      <c r="BB346" s="39"/>
      <c r="BC346" s="39"/>
      <c r="BI346" s="39"/>
      <c r="BJ346" s="39"/>
      <c r="BK346" s="39"/>
      <c r="BQ346" s="39"/>
      <c r="BR346" s="39"/>
      <c r="BS346" s="39"/>
      <c r="BY346" s="39"/>
      <c r="BZ346" s="39"/>
      <c r="CA346" s="39"/>
      <c r="CG346" s="39"/>
      <c r="CH346" s="39"/>
      <c r="CI346" s="39"/>
    </row>
    <row r="347" spans="2:87" ht="15.75" customHeight="1">
      <c r="B347" s="2"/>
      <c r="C347" s="10"/>
      <c r="F347" s="39"/>
      <c r="G347" s="39"/>
      <c r="H347" s="39"/>
      <c r="I347" s="39"/>
      <c r="M347" s="39"/>
      <c r="N347" s="39"/>
      <c r="O347" s="39"/>
      <c r="U347" s="39"/>
      <c r="V347" s="39"/>
      <c r="W347" s="39"/>
      <c r="AC347" s="39"/>
      <c r="AD347" s="39"/>
      <c r="AE347" s="39"/>
      <c r="AK347" s="39"/>
      <c r="AL347" s="39"/>
      <c r="AM347" s="39"/>
      <c r="AS347" s="39"/>
      <c r="AT347" s="39"/>
      <c r="AU347" s="39"/>
      <c r="AZ347" s="40"/>
      <c r="BA347" s="39"/>
      <c r="BB347" s="39"/>
      <c r="BC347" s="39"/>
      <c r="BI347" s="39"/>
      <c r="BJ347" s="39"/>
      <c r="BK347" s="39"/>
      <c r="BQ347" s="39"/>
      <c r="BR347" s="39"/>
      <c r="BS347" s="39"/>
      <c r="BY347" s="39"/>
      <c r="BZ347" s="39"/>
      <c r="CA347" s="39"/>
      <c r="CG347" s="39"/>
      <c r="CH347" s="39"/>
      <c r="CI347" s="39"/>
    </row>
    <row r="348" spans="2:87" ht="15.75" customHeight="1">
      <c r="B348" s="2"/>
      <c r="C348" s="10"/>
      <c r="F348" s="39"/>
      <c r="G348" s="39"/>
      <c r="H348" s="39"/>
      <c r="I348" s="39"/>
      <c r="M348" s="39"/>
      <c r="N348" s="39"/>
      <c r="O348" s="39"/>
      <c r="U348" s="39"/>
      <c r="V348" s="39"/>
      <c r="W348" s="39"/>
      <c r="AC348" s="39"/>
      <c r="AD348" s="39"/>
      <c r="AE348" s="39"/>
      <c r="AK348" s="39"/>
      <c r="AL348" s="39"/>
      <c r="AM348" s="39"/>
      <c r="AS348" s="39"/>
      <c r="AT348" s="39"/>
      <c r="AU348" s="39"/>
      <c r="AZ348" s="40"/>
      <c r="BA348" s="39"/>
      <c r="BB348" s="39"/>
      <c r="BC348" s="39"/>
      <c r="BI348" s="39"/>
      <c r="BJ348" s="39"/>
      <c r="BK348" s="39"/>
      <c r="BQ348" s="39"/>
      <c r="BR348" s="39"/>
      <c r="BS348" s="39"/>
      <c r="BY348" s="39"/>
      <c r="BZ348" s="39"/>
      <c r="CA348" s="39"/>
      <c r="CG348" s="39"/>
      <c r="CH348" s="39"/>
      <c r="CI348" s="39"/>
    </row>
    <row r="349" spans="2:87" ht="15.75" customHeight="1">
      <c r="B349" s="2"/>
      <c r="C349" s="10"/>
      <c r="F349" s="39"/>
      <c r="G349" s="39"/>
      <c r="H349" s="39"/>
      <c r="I349" s="39"/>
      <c r="M349" s="39"/>
      <c r="N349" s="39"/>
      <c r="O349" s="39"/>
      <c r="U349" s="39"/>
      <c r="V349" s="39"/>
      <c r="W349" s="39"/>
      <c r="AC349" s="39"/>
      <c r="AD349" s="39"/>
      <c r="AE349" s="39"/>
      <c r="AK349" s="39"/>
      <c r="AL349" s="39"/>
      <c r="AM349" s="39"/>
      <c r="AS349" s="39"/>
      <c r="AT349" s="39"/>
      <c r="AU349" s="39"/>
      <c r="AZ349" s="40"/>
      <c r="BA349" s="39"/>
      <c r="BB349" s="39"/>
      <c r="BC349" s="39"/>
      <c r="BI349" s="39"/>
      <c r="BJ349" s="39"/>
      <c r="BK349" s="39"/>
      <c r="BQ349" s="39"/>
      <c r="BR349" s="39"/>
      <c r="BS349" s="39"/>
      <c r="BY349" s="39"/>
      <c r="BZ349" s="39"/>
      <c r="CA349" s="39"/>
      <c r="CG349" s="39"/>
      <c r="CH349" s="39"/>
      <c r="CI349" s="39"/>
    </row>
    <row r="350" spans="2:87" ht="15.75" customHeight="1">
      <c r="B350" s="2"/>
      <c r="C350" s="10"/>
      <c r="F350" s="39"/>
      <c r="G350" s="39"/>
      <c r="H350" s="39"/>
      <c r="I350" s="39"/>
      <c r="M350" s="39"/>
      <c r="N350" s="39"/>
      <c r="O350" s="39"/>
      <c r="U350" s="39"/>
      <c r="V350" s="39"/>
      <c r="W350" s="39"/>
      <c r="AC350" s="39"/>
      <c r="AD350" s="39"/>
      <c r="AE350" s="39"/>
      <c r="AK350" s="39"/>
      <c r="AL350" s="39"/>
      <c r="AM350" s="39"/>
      <c r="AS350" s="39"/>
      <c r="AT350" s="39"/>
      <c r="AU350" s="39"/>
      <c r="AZ350" s="40"/>
      <c r="BA350" s="39"/>
      <c r="BB350" s="39"/>
      <c r="BC350" s="39"/>
      <c r="BI350" s="39"/>
      <c r="BJ350" s="39"/>
      <c r="BK350" s="39"/>
      <c r="BQ350" s="39"/>
      <c r="BR350" s="39"/>
      <c r="BS350" s="39"/>
      <c r="BY350" s="39"/>
      <c r="BZ350" s="39"/>
      <c r="CA350" s="39"/>
      <c r="CG350" s="39"/>
      <c r="CH350" s="39"/>
      <c r="CI350" s="39"/>
    </row>
    <row r="351" spans="2:87" ht="15.75" customHeight="1">
      <c r="B351" s="2"/>
      <c r="C351" s="10"/>
      <c r="F351" s="39"/>
      <c r="G351" s="39"/>
      <c r="H351" s="39"/>
      <c r="I351" s="39"/>
      <c r="M351" s="39"/>
      <c r="N351" s="39"/>
      <c r="O351" s="39"/>
      <c r="U351" s="39"/>
      <c r="V351" s="39"/>
      <c r="W351" s="39"/>
      <c r="AC351" s="39"/>
      <c r="AD351" s="39"/>
      <c r="AE351" s="39"/>
      <c r="AK351" s="39"/>
      <c r="AL351" s="39"/>
      <c r="AM351" s="39"/>
      <c r="AS351" s="39"/>
      <c r="AT351" s="39"/>
      <c r="AU351" s="39"/>
      <c r="AZ351" s="40"/>
      <c r="BA351" s="39"/>
      <c r="BB351" s="39"/>
      <c r="BC351" s="39"/>
      <c r="BI351" s="39"/>
      <c r="BJ351" s="39"/>
      <c r="BK351" s="39"/>
      <c r="BQ351" s="39"/>
      <c r="BR351" s="39"/>
      <c r="BS351" s="39"/>
      <c r="BY351" s="39"/>
      <c r="BZ351" s="39"/>
      <c r="CA351" s="39"/>
      <c r="CG351" s="39"/>
      <c r="CH351" s="39"/>
      <c r="CI351" s="39"/>
    </row>
    <row r="352" spans="2:87" ht="15.75" customHeight="1">
      <c r="B352" s="2"/>
      <c r="C352" s="10"/>
      <c r="F352" s="39"/>
      <c r="G352" s="39"/>
      <c r="H352" s="39"/>
      <c r="I352" s="39"/>
      <c r="M352" s="39"/>
      <c r="N352" s="39"/>
      <c r="O352" s="39"/>
      <c r="U352" s="39"/>
      <c r="V352" s="39"/>
      <c r="W352" s="39"/>
      <c r="AC352" s="39"/>
      <c r="AD352" s="39"/>
      <c r="AE352" s="39"/>
      <c r="AK352" s="39"/>
      <c r="AL352" s="39"/>
      <c r="AM352" s="39"/>
      <c r="AS352" s="39"/>
      <c r="AT352" s="39"/>
      <c r="AU352" s="39"/>
      <c r="AZ352" s="40"/>
      <c r="BA352" s="39"/>
      <c r="BB352" s="39"/>
      <c r="BC352" s="39"/>
      <c r="BI352" s="39"/>
      <c r="BJ352" s="39"/>
      <c r="BK352" s="39"/>
      <c r="BQ352" s="39"/>
      <c r="BR352" s="39"/>
      <c r="BS352" s="39"/>
      <c r="BY352" s="39"/>
      <c r="BZ352" s="39"/>
      <c r="CA352" s="39"/>
      <c r="CG352" s="39"/>
      <c r="CH352" s="39"/>
      <c r="CI352" s="39"/>
    </row>
    <row r="353" spans="2:87" ht="15.75" customHeight="1">
      <c r="B353" s="2"/>
      <c r="C353" s="10"/>
      <c r="F353" s="39"/>
      <c r="G353" s="39"/>
      <c r="H353" s="39"/>
      <c r="I353" s="39"/>
      <c r="M353" s="39"/>
      <c r="N353" s="39"/>
      <c r="O353" s="39"/>
      <c r="U353" s="39"/>
      <c r="V353" s="39"/>
      <c r="W353" s="39"/>
      <c r="AC353" s="39"/>
      <c r="AD353" s="39"/>
      <c r="AE353" s="39"/>
      <c r="AK353" s="39"/>
      <c r="AL353" s="39"/>
      <c r="AM353" s="39"/>
      <c r="AS353" s="39"/>
      <c r="AT353" s="39"/>
      <c r="AU353" s="39"/>
      <c r="AZ353" s="40"/>
      <c r="BA353" s="39"/>
      <c r="BB353" s="39"/>
      <c r="BC353" s="39"/>
      <c r="BI353" s="39"/>
      <c r="BJ353" s="39"/>
      <c r="BK353" s="39"/>
      <c r="BQ353" s="39"/>
      <c r="BR353" s="39"/>
      <c r="BS353" s="39"/>
      <c r="BY353" s="39"/>
      <c r="BZ353" s="39"/>
      <c r="CA353" s="39"/>
      <c r="CG353" s="39"/>
      <c r="CH353" s="39"/>
      <c r="CI353" s="39"/>
    </row>
    <row r="354" spans="2:87" ht="15.75" customHeight="1">
      <c r="B354" s="2"/>
      <c r="C354" s="10"/>
      <c r="F354" s="39"/>
      <c r="G354" s="39"/>
      <c r="H354" s="39"/>
      <c r="I354" s="39"/>
      <c r="M354" s="39"/>
      <c r="N354" s="39"/>
      <c r="O354" s="39"/>
      <c r="U354" s="39"/>
      <c r="V354" s="39"/>
      <c r="W354" s="39"/>
      <c r="AC354" s="39"/>
      <c r="AD354" s="39"/>
      <c r="AE354" s="39"/>
      <c r="AK354" s="39"/>
      <c r="AL354" s="39"/>
      <c r="AM354" s="39"/>
      <c r="AS354" s="39"/>
      <c r="AT354" s="39"/>
      <c r="AU354" s="39"/>
      <c r="AZ354" s="40"/>
      <c r="BA354" s="39"/>
      <c r="BB354" s="39"/>
      <c r="BC354" s="39"/>
      <c r="BI354" s="39"/>
      <c r="BJ354" s="39"/>
      <c r="BK354" s="39"/>
      <c r="BQ354" s="39"/>
      <c r="BR354" s="39"/>
      <c r="BS354" s="39"/>
      <c r="BY354" s="39"/>
      <c r="BZ354" s="39"/>
      <c r="CA354" s="39"/>
      <c r="CG354" s="39"/>
      <c r="CH354" s="39"/>
      <c r="CI354" s="39"/>
    </row>
    <row r="355" spans="2:87" ht="15.75" customHeight="1">
      <c r="B355" s="2"/>
      <c r="C355" s="10"/>
      <c r="F355" s="39"/>
      <c r="G355" s="39"/>
      <c r="H355" s="39"/>
      <c r="I355" s="39"/>
      <c r="M355" s="39"/>
      <c r="N355" s="39"/>
      <c r="O355" s="39"/>
      <c r="U355" s="39"/>
      <c r="V355" s="39"/>
      <c r="W355" s="39"/>
      <c r="AC355" s="39"/>
      <c r="AD355" s="39"/>
      <c r="AE355" s="39"/>
      <c r="AK355" s="39"/>
      <c r="AL355" s="39"/>
      <c r="AM355" s="39"/>
      <c r="AS355" s="39"/>
      <c r="AT355" s="39"/>
      <c r="AU355" s="39"/>
      <c r="AZ355" s="40"/>
      <c r="BA355" s="39"/>
      <c r="BB355" s="39"/>
      <c r="BC355" s="39"/>
      <c r="BI355" s="39"/>
      <c r="BJ355" s="39"/>
      <c r="BK355" s="39"/>
      <c r="BQ355" s="39"/>
      <c r="BR355" s="39"/>
      <c r="BS355" s="39"/>
      <c r="BY355" s="39"/>
      <c r="BZ355" s="39"/>
      <c r="CA355" s="39"/>
      <c r="CG355" s="39"/>
      <c r="CH355" s="39"/>
      <c r="CI355" s="39"/>
    </row>
    <row r="356" spans="2:87" ht="15.75" customHeight="1">
      <c r="B356" s="2"/>
      <c r="C356" s="10"/>
      <c r="F356" s="39"/>
      <c r="G356" s="39"/>
      <c r="H356" s="39"/>
      <c r="I356" s="39"/>
      <c r="M356" s="39"/>
      <c r="N356" s="39"/>
      <c r="O356" s="39"/>
      <c r="U356" s="39"/>
      <c r="V356" s="39"/>
      <c r="W356" s="39"/>
      <c r="AC356" s="39"/>
      <c r="AD356" s="39"/>
      <c r="AE356" s="39"/>
      <c r="AK356" s="39"/>
      <c r="AL356" s="39"/>
      <c r="AM356" s="39"/>
      <c r="AS356" s="39"/>
      <c r="AT356" s="39"/>
      <c r="AU356" s="39"/>
      <c r="AZ356" s="40"/>
      <c r="BA356" s="39"/>
      <c r="BB356" s="39"/>
      <c r="BC356" s="39"/>
      <c r="BI356" s="39"/>
      <c r="BJ356" s="39"/>
      <c r="BK356" s="39"/>
      <c r="BQ356" s="39"/>
      <c r="BR356" s="39"/>
      <c r="BS356" s="39"/>
      <c r="BY356" s="39"/>
      <c r="BZ356" s="39"/>
      <c r="CA356" s="39"/>
      <c r="CG356" s="39"/>
      <c r="CH356" s="39"/>
      <c r="CI356" s="39"/>
    </row>
    <row r="357" spans="2:87" ht="15.75" customHeight="1">
      <c r="B357" s="2"/>
      <c r="C357" s="10"/>
      <c r="F357" s="39"/>
      <c r="G357" s="39"/>
      <c r="H357" s="39"/>
      <c r="I357" s="39"/>
      <c r="M357" s="39"/>
      <c r="N357" s="39"/>
      <c r="O357" s="39"/>
      <c r="U357" s="39"/>
      <c r="V357" s="39"/>
      <c r="W357" s="39"/>
      <c r="AC357" s="39"/>
      <c r="AD357" s="39"/>
      <c r="AE357" s="39"/>
      <c r="AK357" s="39"/>
      <c r="AL357" s="39"/>
      <c r="AM357" s="39"/>
      <c r="AS357" s="39"/>
      <c r="AT357" s="39"/>
      <c r="AU357" s="39"/>
      <c r="AZ357" s="40"/>
      <c r="BA357" s="39"/>
      <c r="BB357" s="39"/>
      <c r="BC357" s="39"/>
      <c r="BI357" s="39"/>
      <c r="BJ357" s="39"/>
      <c r="BK357" s="39"/>
      <c r="BQ357" s="39"/>
      <c r="BR357" s="39"/>
      <c r="BS357" s="39"/>
      <c r="BY357" s="39"/>
      <c r="BZ357" s="39"/>
      <c r="CA357" s="39"/>
      <c r="CG357" s="39"/>
      <c r="CH357" s="39"/>
      <c r="CI357" s="39"/>
    </row>
    <row r="358" spans="2:87" ht="15.75" customHeight="1">
      <c r="B358" s="2"/>
      <c r="C358" s="10"/>
      <c r="F358" s="39"/>
      <c r="G358" s="39"/>
      <c r="H358" s="39"/>
      <c r="I358" s="39"/>
      <c r="M358" s="39"/>
      <c r="N358" s="39"/>
      <c r="O358" s="39"/>
      <c r="U358" s="39"/>
      <c r="V358" s="39"/>
      <c r="W358" s="39"/>
      <c r="AC358" s="39"/>
      <c r="AD358" s="39"/>
      <c r="AE358" s="39"/>
      <c r="AK358" s="39"/>
      <c r="AL358" s="39"/>
      <c r="AM358" s="39"/>
      <c r="AS358" s="39"/>
      <c r="AT358" s="39"/>
      <c r="AU358" s="39"/>
      <c r="AZ358" s="40"/>
      <c r="BA358" s="39"/>
      <c r="BB358" s="39"/>
      <c r="BC358" s="39"/>
      <c r="BI358" s="39"/>
      <c r="BJ358" s="39"/>
      <c r="BK358" s="39"/>
      <c r="BQ358" s="39"/>
      <c r="BR358" s="39"/>
      <c r="BS358" s="39"/>
      <c r="BY358" s="39"/>
      <c r="BZ358" s="39"/>
      <c r="CA358" s="39"/>
      <c r="CG358" s="39"/>
      <c r="CH358" s="39"/>
      <c r="CI358" s="39"/>
    </row>
    <row r="359" spans="2:87" ht="15.75" customHeight="1">
      <c r="B359" s="2"/>
      <c r="C359" s="10"/>
      <c r="F359" s="39"/>
      <c r="G359" s="39"/>
      <c r="H359" s="39"/>
      <c r="I359" s="39"/>
      <c r="M359" s="39"/>
      <c r="N359" s="39"/>
      <c r="O359" s="39"/>
      <c r="U359" s="39"/>
      <c r="V359" s="39"/>
      <c r="W359" s="39"/>
      <c r="AC359" s="39"/>
      <c r="AD359" s="39"/>
      <c r="AE359" s="39"/>
      <c r="AK359" s="39"/>
      <c r="AL359" s="39"/>
      <c r="AM359" s="39"/>
      <c r="AS359" s="39"/>
      <c r="AT359" s="39"/>
      <c r="AU359" s="39"/>
      <c r="AZ359" s="40"/>
      <c r="BA359" s="39"/>
      <c r="BB359" s="39"/>
      <c r="BC359" s="39"/>
      <c r="BI359" s="39"/>
      <c r="BJ359" s="39"/>
      <c r="BK359" s="39"/>
      <c r="BQ359" s="39"/>
      <c r="BR359" s="39"/>
      <c r="BS359" s="39"/>
      <c r="BY359" s="39"/>
      <c r="BZ359" s="39"/>
      <c r="CA359" s="39"/>
      <c r="CG359" s="39"/>
      <c r="CH359" s="39"/>
      <c r="CI359" s="39"/>
    </row>
    <row r="360" spans="2:87" ht="15.75" customHeight="1">
      <c r="B360" s="2"/>
      <c r="C360" s="10"/>
      <c r="F360" s="39"/>
      <c r="G360" s="39"/>
      <c r="H360" s="39"/>
      <c r="I360" s="39"/>
      <c r="M360" s="39"/>
      <c r="N360" s="39"/>
      <c r="O360" s="39"/>
      <c r="U360" s="39"/>
      <c r="V360" s="39"/>
      <c r="W360" s="39"/>
      <c r="AC360" s="39"/>
      <c r="AD360" s="39"/>
      <c r="AE360" s="39"/>
      <c r="AK360" s="39"/>
      <c r="AL360" s="39"/>
      <c r="AM360" s="39"/>
      <c r="AS360" s="39"/>
      <c r="AT360" s="39"/>
      <c r="AU360" s="39"/>
      <c r="AZ360" s="40"/>
      <c r="BA360" s="39"/>
      <c r="BB360" s="39"/>
      <c r="BC360" s="39"/>
      <c r="BI360" s="39"/>
      <c r="BJ360" s="39"/>
      <c r="BK360" s="39"/>
      <c r="BQ360" s="39"/>
      <c r="BR360" s="39"/>
      <c r="BS360" s="39"/>
      <c r="BY360" s="39"/>
      <c r="BZ360" s="39"/>
      <c r="CA360" s="39"/>
      <c r="CG360" s="39"/>
      <c r="CH360" s="39"/>
      <c r="CI360" s="39"/>
    </row>
    <row r="361" spans="2:87" ht="15.75" customHeight="1">
      <c r="B361" s="2"/>
      <c r="C361" s="10"/>
      <c r="F361" s="39"/>
      <c r="G361" s="39"/>
      <c r="H361" s="39"/>
      <c r="I361" s="39"/>
      <c r="M361" s="39"/>
      <c r="N361" s="39"/>
      <c r="O361" s="39"/>
      <c r="U361" s="39"/>
      <c r="V361" s="39"/>
      <c r="W361" s="39"/>
      <c r="AC361" s="39"/>
      <c r="AD361" s="39"/>
      <c r="AE361" s="39"/>
      <c r="AK361" s="39"/>
      <c r="AL361" s="39"/>
      <c r="AM361" s="39"/>
      <c r="AS361" s="39"/>
      <c r="AT361" s="39"/>
      <c r="AU361" s="39"/>
      <c r="AZ361" s="40"/>
      <c r="BA361" s="39"/>
      <c r="BB361" s="39"/>
      <c r="BC361" s="39"/>
      <c r="BI361" s="39"/>
      <c r="BJ361" s="39"/>
      <c r="BK361" s="39"/>
      <c r="BQ361" s="39"/>
      <c r="BR361" s="39"/>
      <c r="BS361" s="39"/>
      <c r="BY361" s="39"/>
      <c r="BZ361" s="39"/>
      <c r="CA361" s="39"/>
      <c r="CG361" s="39"/>
      <c r="CH361" s="39"/>
      <c r="CI361" s="39"/>
    </row>
    <row r="362" spans="2:87" ht="15.75" customHeight="1">
      <c r="B362" s="2"/>
      <c r="C362" s="10"/>
      <c r="F362" s="39"/>
      <c r="G362" s="39"/>
      <c r="H362" s="39"/>
      <c r="I362" s="39"/>
      <c r="M362" s="39"/>
      <c r="N362" s="39"/>
      <c r="O362" s="39"/>
      <c r="U362" s="39"/>
      <c r="V362" s="39"/>
      <c r="W362" s="39"/>
      <c r="AC362" s="39"/>
      <c r="AD362" s="39"/>
      <c r="AE362" s="39"/>
      <c r="AK362" s="39"/>
      <c r="AL362" s="39"/>
      <c r="AM362" s="39"/>
      <c r="AS362" s="39"/>
      <c r="AT362" s="39"/>
      <c r="AU362" s="39"/>
      <c r="AZ362" s="40"/>
      <c r="BA362" s="39"/>
      <c r="BB362" s="39"/>
      <c r="BC362" s="39"/>
      <c r="BI362" s="39"/>
      <c r="BJ362" s="39"/>
      <c r="BK362" s="39"/>
      <c r="BQ362" s="39"/>
      <c r="BR362" s="39"/>
      <c r="BS362" s="39"/>
      <c r="BY362" s="39"/>
      <c r="BZ362" s="39"/>
      <c r="CA362" s="39"/>
      <c r="CG362" s="39"/>
      <c r="CH362" s="39"/>
      <c r="CI362" s="39"/>
    </row>
    <row r="363" spans="2:87" ht="15.75" customHeight="1">
      <c r="B363" s="2"/>
      <c r="C363" s="10"/>
      <c r="F363" s="39"/>
      <c r="G363" s="39"/>
      <c r="H363" s="39"/>
      <c r="I363" s="39"/>
      <c r="M363" s="39"/>
      <c r="N363" s="39"/>
      <c r="O363" s="39"/>
      <c r="U363" s="39"/>
      <c r="V363" s="39"/>
      <c r="W363" s="39"/>
      <c r="AC363" s="39"/>
      <c r="AD363" s="39"/>
      <c r="AE363" s="39"/>
      <c r="AK363" s="39"/>
      <c r="AL363" s="39"/>
      <c r="AM363" s="39"/>
      <c r="AS363" s="39"/>
      <c r="AT363" s="39"/>
      <c r="AU363" s="39"/>
      <c r="AZ363" s="40"/>
      <c r="BA363" s="39"/>
      <c r="BB363" s="39"/>
      <c r="BC363" s="39"/>
      <c r="BI363" s="39"/>
      <c r="BJ363" s="39"/>
      <c r="BK363" s="39"/>
      <c r="BQ363" s="39"/>
      <c r="BR363" s="39"/>
      <c r="BS363" s="39"/>
      <c r="BY363" s="39"/>
      <c r="BZ363" s="39"/>
      <c r="CA363" s="39"/>
      <c r="CG363" s="39"/>
      <c r="CH363" s="39"/>
      <c r="CI363" s="39"/>
    </row>
    <row r="364" spans="2:87" ht="15.75" customHeight="1">
      <c r="B364" s="2"/>
      <c r="C364" s="10"/>
      <c r="F364" s="39"/>
      <c r="G364" s="39"/>
      <c r="H364" s="39"/>
      <c r="I364" s="39"/>
      <c r="M364" s="39"/>
      <c r="N364" s="39"/>
      <c r="O364" s="39"/>
      <c r="U364" s="39"/>
      <c r="V364" s="39"/>
      <c r="W364" s="39"/>
      <c r="AC364" s="39"/>
      <c r="AD364" s="39"/>
      <c r="AE364" s="39"/>
      <c r="AK364" s="39"/>
      <c r="AL364" s="39"/>
      <c r="AM364" s="39"/>
      <c r="AS364" s="39"/>
      <c r="AT364" s="39"/>
      <c r="AU364" s="39"/>
      <c r="AZ364" s="40"/>
      <c r="BA364" s="39"/>
      <c r="BB364" s="39"/>
      <c r="BC364" s="39"/>
      <c r="BI364" s="39"/>
      <c r="BJ364" s="39"/>
      <c r="BK364" s="39"/>
      <c r="BQ364" s="39"/>
      <c r="BR364" s="39"/>
      <c r="BS364" s="39"/>
      <c r="BY364" s="39"/>
      <c r="BZ364" s="39"/>
      <c r="CA364" s="39"/>
      <c r="CG364" s="39"/>
      <c r="CH364" s="39"/>
      <c r="CI364" s="39"/>
    </row>
    <row r="365" spans="2:87" ht="15.75" customHeight="1">
      <c r="B365" s="2"/>
      <c r="C365" s="10"/>
      <c r="F365" s="39"/>
      <c r="G365" s="39"/>
      <c r="H365" s="39"/>
      <c r="I365" s="39"/>
      <c r="M365" s="39"/>
      <c r="N365" s="39"/>
      <c r="O365" s="39"/>
      <c r="U365" s="39"/>
      <c r="V365" s="39"/>
      <c r="W365" s="39"/>
      <c r="AC365" s="39"/>
      <c r="AD365" s="39"/>
      <c r="AE365" s="39"/>
      <c r="AK365" s="39"/>
      <c r="AL365" s="39"/>
      <c r="AM365" s="39"/>
      <c r="AS365" s="39"/>
      <c r="AT365" s="39"/>
      <c r="AU365" s="39"/>
      <c r="AZ365" s="40"/>
      <c r="BA365" s="39"/>
      <c r="BB365" s="39"/>
      <c r="BC365" s="39"/>
      <c r="BI365" s="39"/>
      <c r="BJ365" s="39"/>
      <c r="BK365" s="39"/>
      <c r="BQ365" s="39"/>
      <c r="BR365" s="39"/>
      <c r="BS365" s="39"/>
      <c r="BY365" s="39"/>
      <c r="BZ365" s="39"/>
      <c r="CA365" s="39"/>
      <c r="CG365" s="39"/>
      <c r="CH365" s="39"/>
      <c r="CI365" s="39"/>
    </row>
    <row r="366" spans="2:87" ht="15.75" customHeight="1">
      <c r="B366" s="2"/>
      <c r="C366" s="10"/>
      <c r="F366" s="39"/>
      <c r="G366" s="39"/>
      <c r="H366" s="39"/>
      <c r="I366" s="39"/>
      <c r="M366" s="39"/>
      <c r="N366" s="39"/>
      <c r="O366" s="39"/>
      <c r="U366" s="39"/>
      <c r="V366" s="39"/>
      <c r="W366" s="39"/>
      <c r="AC366" s="39"/>
      <c r="AD366" s="39"/>
      <c r="AE366" s="39"/>
      <c r="AK366" s="39"/>
      <c r="AL366" s="39"/>
      <c r="AM366" s="39"/>
      <c r="AS366" s="39"/>
      <c r="AT366" s="39"/>
      <c r="AU366" s="39"/>
      <c r="AZ366" s="40"/>
      <c r="BA366" s="39"/>
      <c r="BB366" s="39"/>
      <c r="BC366" s="39"/>
      <c r="BI366" s="39"/>
      <c r="BJ366" s="39"/>
      <c r="BK366" s="39"/>
      <c r="BQ366" s="39"/>
      <c r="BR366" s="39"/>
      <c r="BS366" s="39"/>
      <c r="BY366" s="39"/>
      <c r="BZ366" s="39"/>
      <c r="CA366" s="39"/>
      <c r="CG366" s="39"/>
      <c r="CH366" s="39"/>
      <c r="CI366" s="39"/>
    </row>
    <row r="367" spans="2:87" ht="15.75" customHeight="1">
      <c r="B367" s="2"/>
      <c r="C367" s="10"/>
      <c r="F367" s="39"/>
      <c r="G367" s="39"/>
      <c r="H367" s="39"/>
      <c r="I367" s="39"/>
      <c r="M367" s="39"/>
      <c r="N367" s="39"/>
      <c r="O367" s="39"/>
      <c r="U367" s="39"/>
      <c r="V367" s="39"/>
      <c r="W367" s="39"/>
      <c r="AC367" s="39"/>
      <c r="AD367" s="39"/>
      <c r="AE367" s="39"/>
      <c r="AK367" s="39"/>
      <c r="AL367" s="39"/>
      <c r="AM367" s="39"/>
      <c r="AS367" s="39"/>
      <c r="AT367" s="39"/>
      <c r="AU367" s="39"/>
      <c r="AZ367" s="40"/>
      <c r="BA367" s="39"/>
      <c r="BB367" s="39"/>
      <c r="BC367" s="39"/>
      <c r="BI367" s="39"/>
      <c r="BJ367" s="39"/>
      <c r="BK367" s="39"/>
      <c r="BQ367" s="39"/>
      <c r="BR367" s="39"/>
      <c r="BS367" s="39"/>
      <c r="BY367" s="39"/>
      <c r="BZ367" s="39"/>
      <c r="CA367" s="39"/>
      <c r="CG367" s="39"/>
      <c r="CH367" s="39"/>
      <c r="CI367" s="39"/>
    </row>
    <row r="368" spans="2:87" ht="15.75" customHeight="1">
      <c r="B368" s="2"/>
      <c r="C368" s="10"/>
      <c r="F368" s="39"/>
      <c r="G368" s="39"/>
      <c r="H368" s="39"/>
      <c r="I368" s="39"/>
      <c r="M368" s="39"/>
      <c r="N368" s="39"/>
      <c r="O368" s="39"/>
      <c r="U368" s="39"/>
      <c r="V368" s="39"/>
      <c r="W368" s="39"/>
      <c r="AC368" s="39"/>
      <c r="AD368" s="39"/>
      <c r="AE368" s="39"/>
      <c r="AK368" s="39"/>
      <c r="AL368" s="39"/>
      <c r="AM368" s="39"/>
      <c r="AS368" s="39"/>
      <c r="AT368" s="39"/>
      <c r="AU368" s="39"/>
      <c r="AZ368" s="40"/>
      <c r="BA368" s="39"/>
      <c r="BB368" s="39"/>
      <c r="BC368" s="39"/>
      <c r="BI368" s="39"/>
      <c r="BJ368" s="39"/>
      <c r="BK368" s="39"/>
      <c r="BQ368" s="39"/>
      <c r="BR368" s="39"/>
      <c r="BS368" s="39"/>
      <c r="BY368" s="39"/>
      <c r="BZ368" s="39"/>
      <c r="CA368" s="39"/>
      <c r="CG368" s="39"/>
      <c r="CH368" s="39"/>
      <c r="CI368" s="39"/>
    </row>
    <row r="369" spans="2:87" ht="15.75" customHeight="1">
      <c r="B369" s="2"/>
      <c r="C369" s="10"/>
      <c r="F369" s="39"/>
      <c r="G369" s="39"/>
      <c r="H369" s="39"/>
      <c r="I369" s="39"/>
      <c r="M369" s="39"/>
      <c r="N369" s="39"/>
      <c r="O369" s="39"/>
      <c r="U369" s="39"/>
      <c r="V369" s="39"/>
      <c r="W369" s="39"/>
      <c r="AC369" s="39"/>
      <c r="AD369" s="39"/>
      <c r="AE369" s="39"/>
      <c r="AK369" s="39"/>
      <c r="AL369" s="39"/>
      <c r="AM369" s="39"/>
      <c r="AS369" s="39"/>
      <c r="AT369" s="39"/>
      <c r="AU369" s="39"/>
      <c r="AZ369" s="40"/>
      <c r="BA369" s="39"/>
      <c r="BB369" s="39"/>
      <c r="BC369" s="39"/>
      <c r="BI369" s="39"/>
      <c r="BJ369" s="39"/>
      <c r="BK369" s="39"/>
      <c r="BQ369" s="39"/>
      <c r="BR369" s="39"/>
      <c r="BS369" s="39"/>
      <c r="BY369" s="39"/>
      <c r="BZ369" s="39"/>
      <c r="CA369" s="39"/>
      <c r="CG369" s="39"/>
      <c r="CH369" s="39"/>
      <c r="CI369" s="39"/>
    </row>
    <row r="370" spans="2:87" ht="15.75" customHeight="1">
      <c r="B370" s="2"/>
      <c r="C370" s="10"/>
      <c r="F370" s="39"/>
      <c r="G370" s="39"/>
      <c r="H370" s="39"/>
      <c r="I370" s="39"/>
      <c r="M370" s="39"/>
      <c r="N370" s="39"/>
      <c r="O370" s="39"/>
      <c r="U370" s="39"/>
      <c r="V370" s="39"/>
      <c r="W370" s="39"/>
      <c r="AC370" s="39"/>
      <c r="AD370" s="39"/>
      <c r="AE370" s="39"/>
      <c r="AK370" s="39"/>
      <c r="AL370" s="39"/>
      <c r="AM370" s="39"/>
      <c r="AS370" s="39"/>
      <c r="AT370" s="39"/>
      <c r="AU370" s="39"/>
      <c r="AZ370" s="40"/>
      <c r="BA370" s="39"/>
      <c r="BB370" s="39"/>
      <c r="BC370" s="39"/>
      <c r="BI370" s="39"/>
      <c r="BJ370" s="39"/>
      <c r="BK370" s="39"/>
      <c r="BQ370" s="39"/>
      <c r="BR370" s="39"/>
      <c r="BS370" s="39"/>
      <c r="BY370" s="39"/>
      <c r="BZ370" s="39"/>
      <c r="CA370" s="39"/>
      <c r="CG370" s="39"/>
      <c r="CH370" s="39"/>
      <c r="CI370" s="39"/>
    </row>
    <row r="371" spans="2:87" ht="15.75" customHeight="1">
      <c r="B371" s="2"/>
      <c r="C371" s="10"/>
      <c r="F371" s="39"/>
      <c r="G371" s="39"/>
      <c r="H371" s="39"/>
      <c r="I371" s="39"/>
      <c r="M371" s="39"/>
      <c r="N371" s="39"/>
      <c r="O371" s="39"/>
      <c r="U371" s="39"/>
      <c r="V371" s="39"/>
      <c r="W371" s="39"/>
      <c r="AC371" s="39"/>
      <c r="AD371" s="39"/>
      <c r="AE371" s="39"/>
      <c r="AK371" s="39"/>
      <c r="AL371" s="39"/>
      <c r="AM371" s="39"/>
      <c r="AS371" s="39"/>
      <c r="AT371" s="39"/>
      <c r="AU371" s="39"/>
      <c r="AZ371" s="40"/>
      <c r="BA371" s="39"/>
      <c r="BB371" s="39"/>
      <c r="BC371" s="39"/>
      <c r="BI371" s="39"/>
      <c r="BJ371" s="39"/>
      <c r="BK371" s="39"/>
      <c r="BQ371" s="39"/>
      <c r="BR371" s="39"/>
      <c r="BS371" s="39"/>
      <c r="BY371" s="39"/>
      <c r="BZ371" s="39"/>
      <c r="CA371" s="39"/>
      <c r="CG371" s="39"/>
      <c r="CH371" s="39"/>
      <c r="CI371" s="39"/>
    </row>
    <row r="372" spans="2:87" ht="15.75" customHeight="1">
      <c r="B372" s="2"/>
      <c r="C372" s="10"/>
      <c r="F372" s="39"/>
      <c r="G372" s="39"/>
      <c r="H372" s="39"/>
      <c r="I372" s="39"/>
      <c r="M372" s="39"/>
      <c r="N372" s="39"/>
      <c r="O372" s="39"/>
      <c r="U372" s="39"/>
      <c r="V372" s="39"/>
      <c r="W372" s="39"/>
      <c r="AC372" s="39"/>
      <c r="AD372" s="39"/>
      <c r="AE372" s="39"/>
      <c r="AK372" s="39"/>
      <c r="AL372" s="39"/>
      <c r="AM372" s="39"/>
      <c r="AS372" s="39"/>
      <c r="AT372" s="39"/>
      <c r="AU372" s="39"/>
      <c r="AZ372" s="40"/>
      <c r="BA372" s="39"/>
      <c r="BB372" s="39"/>
      <c r="BC372" s="39"/>
      <c r="BI372" s="39"/>
      <c r="BJ372" s="39"/>
      <c r="BK372" s="39"/>
      <c r="BQ372" s="39"/>
      <c r="BR372" s="39"/>
      <c r="BS372" s="39"/>
      <c r="BY372" s="39"/>
      <c r="BZ372" s="39"/>
      <c r="CA372" s="39"/>
      <c r="CG372" s="39"/>
      <c r="CH372" s="39"/>
      <c r="CI372" s="39"/>
    </row>
    <row r="373" spans="2:87" ht="15.75" customHeight="1">
      <c r="B373" s="2"/>
      <c r="C373" s="10"/>
      <c r="F373" s="39"/>
      <c r="G373" s="39"/>
      <c r="H373" s="39"/>
      <c r="I373" s="39"/>
      <c r="M373" s="39"/>
      <c r="N373" s="39"/>
      <c r="O373" s="39"/>
      <c r="U373" s="39"/>
      <c r="V373" s="39"/>
      <c r="W373" s="39"/>
      <c r="AC373" s="39"/>
      <c r="AD373" s="39"/>
      <c r="AE373" s="39"/>
      <c r="AK373" s="39"/>
      <c r="AL373" s="39"/>
      <c r="AM373" s="39"/>
      <c r="AS373" s="39"/>
      <c r="AT373" s="39"/>
      <c r="AU373" s="39"/>
      <c r="AZ373" s="40"/>
      <c r="BA373" s="39"/>
      <c r="BB373" s="39"/>
      <c r="BC373" s="39"/>
      <c r="BI373" s="39"/>
      <c r="BJ373" s="39"/>
      <c r="BK373" s="39"/>
      <c r="BQ373" s="39"/>
      <c r="BR373" s="39"/>
      <c r="BS373" s="39"/>
      <c r="BY373" s="39"/>
      <c r="BZ373" s="39"/>
      <c r="CA373" s="39"/>
      <c r="CG373" s="39"/>
      <c r="CH373" s="39"/>
      <c r="CI373" s="39"/>
    </row>
    <row r="374" spans="2:87" ht="15.75" customHeight="1">
      <c r="B374" s="2"/>
      <c r="C374" s="10"/>
      <c r="F374" s="39"/>
      <c r="G374" s="39"/>
      <c r="H374" s="39"/>
      <c r="I374" s="39"/>
      <c r="M374" s="39"/>
      <c r="N374" s="39"/>
      <c r="O374" s="39"/>
      <c r="U374" s="39"/>
      <c r="V374" s="39"/>
      <c r="W374" s="39"/>
      <c r="AC374" s="39"/>
      <c r="AD374" s="39"/>
      <c r="AE374" s="39"/>
      <c r="AK374" s="39"/>
      <c r="AL374" s="39"/>
      <c r="AM374" s="39"/>
      <c r="AS374" s="39"/>
      <c r="AT374" s="39"/>
      <c r="AU374" s="39"/>
      <c r="AZ374" s="40"/>
      <c r="BA374" s="39"/>
      <c r="BB374" s="39"/>
      <c r="BC374" s="39"/>
      <c r="BI374" s="39"/>
      <c r="BJ374" s="39"/>
      <c r="BK374" s="39"/>
      <c r="BQ374" s="39"/>
      <c r="BR374" s="39"/>
      <c r="BS374" s="39"/>
      <c r="BY374" s="39"/>
      <c r="BZ374" s="39"/>
      <c r="CA374" s="39"/>
      <c r="CG374" s="39"/>
      <c r="CH374" s="39"/>
      <c r="CI374" s="39"/>
    </row>
    <row r="375" spans="2:87" ht="15.75" customHeight="1">
      <c r="B375" s="2"/>
      <c r="C375" s="10"/>
      <c r="F375" s="39"/>
      <c r="G375" s="39"/>
      <c r="H375" s="39"/>
      <c r="I375" s="39"/>
      <c r="M375" s="39"/>
      <c r="N375" s="39"/>
      <c r="O375" s="39"/>
      <c r="U375" s="39"/>
      <c r="V375" s="39"/>
      <c r="W375" s="39"/>
      <c r="AC375" s="39"/>
      <c r="AD375" s="39"/>
      <c r="AE375" s="39"/>
      <c r="AK375" s="39"/>
      <c r="AL375" s="39"/>
      <c r="AM375" s="39"/>
      <c r="AS375" s="39"/>
      <c r="AT375" s="39"/>
      <c r="AU375" s="39"/>
      <c r="AZ375" s="40"/>
      <c r="BA375" s="39"/>
      <c r="BB375" s="39"/>
      <c r="BC375" s="39"/>
      <c r="BI375" s="39"/>
      <c r="BJ375" s="39"/>
      <c r="BK375" s="39"/>
      <c r="BQ375" s="39"/>
      <c r="BR375" s="39"/>
      <c r="BS375" s="39"/>
      <c r="BY375" s="39"/>
      <c r="BZ375" s="39"/>
      <c r="CA375" s="39"/>
      <c r="CG375" s="39"/>
      <c r="CH375" s="39"/>
      <c r="CI375" s="39"/>
    </row>
    <row r="376" spans="2:87" ht="15.75" customHeight="1">
      <c r="B376" s="2"/>
      <c r="C376" s="10"/>
      <c r="F376" s="39"/>
      <c r="G376" s="39"/>
      <c r="H376" s="39"/>
      <c r="I376" s="39"/>
      <c r="M376" s="39"/>
      <c r="N376" s="39"/>
      <c r="O376" s="39"/>
      <c r="U376" s="39"/>
      <c r="V376" s="39"/>
      <c r="W376" s="39"/>
      <c r="AC376" s="39"/>
      <c r="AD376" s="39"/>
      <c r="AE376" s="39"/>
      <c r="AK376" s="39"/>
      <c r="AL376" s="39"/>
      <c r="AM376" s="39"/>
      <c r="AS376" s="39"/>
      <c r="AT376" s="39"/>
      <c r="AU376" s="39"/>
      <c r="AZ376" s="40"/>
      <c r="BA376" s="39"/>
      <c r="BB376" s="39"/>
      <c r="BC376" s="39"/>
      <c r="BI376" s="39"/>
      <c r="BJ376" s="39"/>
      <c r="BK376" s="39"/>
      <c r="BQ376" s="39"/>
      <c r="BR376" s="39"/>
      <c r="BS376" s="39"/>
      <c r="BY376" s="39"/>
      <c r="BZ376" s="39"/>
      <c r="CA376" s="39"/>
      <c r="CG376" s="39"/>
      <c r="CH376" s="39"/>
      <c r="CI376" s="39"/>
    </row>
    <row r="377" spans="2:87" ht="15.75" customHeight="1">
      <c r="B377" s="2"/>
      <c r="C377" s="10"/>
      <c r="F377" s="39"/>
      <c r="G377" s="39"/>
      <c r="H377" s="39"/>
      <c r="I377" s="39"/>
      <c r="M377" s="39"/>
      <c r="N377" s="39"/>
      <c r="O377" s="39"/>
      <c r="U377" s="39"/>
      <c r="V377" s="39"/>
      <c r="W377" s="39"/>
      <c r="AC377" s="39"/>
      <c r="AD377" s="39"/>
      <c r="AE377" s="39"/>
      <c r="AK377" s="39"/>
      <c r="AL377" s="39"/>
      <c r="AM377" s="39"/>
      <c r="AS377" s="39"/>
      <c r="AT377" s="39"/>
      <c r="AU377" s="39"/>
      <c r="AZ377" s="40"/>
      <c r="BA377" s="39"/>
      <c r="BB377" s="39"/>
      <c r="BC377" s="39"/>
      <c r="BI377" s="39"/>
      <c r="BJ377" s="39"/>
      <c r="BK377" s="39"/>
      <c r="BQ377" s="39"/>
      <c r="BR377" s="39"/>
      <c r="BS377" s="39"/>
      <c r="BY377" s="39"/>
      <c r="BZ377" s="39"/>
      <c r="CA377" s="39"/>
      <c r="CG377" s="39"/>
      <c r="CH377" s="39"/>
      <c r="CI377" s="39"/>
    </row>
    <row r="378" spans="2:87" ht="15.75" customHeight="1">
      <c r="B378" s="2"/>
      <c r="C378" s="10"/>
      <c r="F378" s="39"/>
      <c r="G378" s="39"/>
      <c r="H378" s="39"/>
      <c r="I378" s="39"/>
      <c r="M378" s="39"/>
      <c r="N378" s="39"/>
      <c r="O378" s="39"/>
      <c r="U378" s="39"/>
      <c r="V378" s="39"/>
      <c r="W378" s="39"/>
      <c r="AC378" s="39"/>
      <c r="AD378" s="39"/>
      <c r="AE378" s="39"/>
      <c r="AK378" s="39"/>
      <c r="AL378" s="39"/>
      <c r="AM378" s="39"/>
      <c r="AS378" s="39"/>
      <c r="AT378" s="39"/>
      <c r="AU378" s="39"/>
      <c r="AZ378" s="40"/>
      <c r="BA378" s="39"/>
      <c r="BB378" s="39"/>
      <c r="BC378" s="39"/>
      <c r="BI378" s="39"/>
      <c r="BJ378" s="39"/>
      <c r="BK378" s="39"/>
      <c r="BQ378" s="39"/>
      <c r="BR378" s="39"/>
      <c r="BS378" s="39"/>
      <c r="BY378" s="39"/>
      <c r="BZ378" s="39"/>
      <c r="CA378" s="39"/>
      <c r="CG378" s="39"/>
      <c r="CH378" s="39"/>
      <c r="CI378" s="39"/>
    </row>
    <row r="379" spans="2:87" ht="15.75" customHeight="1">
      <c r="B379" s="2"/>
      <c r="C379" s="10"/>
      <c r="F379" s="39"/>
      <c r="G379" s="39"/>
      <c r="H379" s="39"/>
      <c r="I379" s="39"/>
      <c r="M379" s="39"/>
      <c r="N379" s="39"/>
      <c r="O379" s="39"/>
      <c r="U379" s="39"/>
      <c r="V379" s="39"/>
      <c r="W379" s="39"/>
      <c r="AC379" s="39"/>
      <c r="AD379" s="39"/>
      <c r="AE379" s="39"/>
      <c r="AK379" s="39"/>
      <c r="AL379" s="39"/>
      <c r="AM379" s="39"/>
      <c r="AS379" s="39"/>
      <c r="AT379" s="39"/>
      <c r="AU379" s="39"/>
      <c r="AZ379" s="40"/>
      <c r="BA379" s="39"/>
      <c r="BB379" s="39"/>
      <c r="BC379" s="39"/>
      <c r="BI379" s="39"/>
      <c r="BJ379" s="39"/>
      <c r="BK379" s="39"/>
      <c r="BQ379" s="39"/>
      <c r="BR379" s="39"/>
      <c r="BS379" s="39"/>
      <c r="BY379" s="39"/>
      <c r="BZ379" s="39"/>
      <c r="CA379" s="39"/>
      <c r="CG379" s="39"/>
      <c r="CH379" s="39"/>
      <c r="CI379" s="39"/>
    </row>
    <row r="380" spans="2:87" ht="15.75" customHeight="1">
      <c r="B380" s="2"/>
      <c r="C380" s="10"/>
      <c r="F380" s="39"/>
      <c r="G380" s="39"/>
      <c r="H380" s="39"/>
      <c r="I380" s="39"/>
      <c r="M380" s="39"/>
      <c r="N380" s="39"/>
      <c r="O380" s="39"/>
      <c r="U380" s="39"/>
      <c r="V380" s="39"/>
      <c r="W380" s="39"/>
      <c r="AC380" s="39"/>
      <c r="AD380" s="39"/>
      <c r="AE380" s="39"/>
      <c r="AK380" s="39"/>
      <c r="AL380" s="39"/>
      <c r="AM380" s="39"/>
      <c r="AS380" s="39"/>
      <c r="AT380" s="39"/>
      <c r="AU380" s="39"/>
      <c r="AZ380" s="40"/>
      <c r="BA380" s="39"/>
      <c r="BB380" s="39"/>
      <c r="BC380" s="39"/>
      <c r="BI380" s="39"/>
      <c r="BJ380" s="39"/>
      <c r="BK380" s="39"/>
      <c r="BQ380" s="39"/>
      <c r="BR380" s="39"/>
      <c r="BS380" s="39"/>
      <c r="BY380" s="39"/>
      <c r="BZ380" s="39"/>
      <c r="CA380" s="39"/>
      <c r="CG380" s="39"/>
      <c r="CH380" s="39"/>
      <c r="CI380" s="39"/>
    </row>
    <row r="381" spans="2:87" ht="15.75" customHeight="1">
      <c r="B381" s="2"/>
      <c r="C381" s="10"/>
      <c r="F381" s="39"/>
      <c r="G381" s="39"/>
      <c r="H381" s="39"/>
      <c r="I381" s="39"/>
      <c r="M381" s="39"/>
      <c r="N381" s="39"/>
      <c r="O381" s="39"/>
      <c r="U381" s="39"/>
      <c r="V381" s="39"/>
      <c r="W381" s="39"/>
      <c r="AC381" s="39"/>
      <c r="AD381" s="39"/>
      <c r="AE381" s="39"/>
      <c r="AK381" s="39"/>
      <c r="AL381" s="39"/>
      <c r="AM381" s="39"/>
      <c r="AS381" s="39"/>
      <c r="AT381" s="39"/>
      <c r="AU381" s="39"/>
      <c r="AZ381" s="40"/>
      <c r="BA381" s="39"/>
      <c r="BB381" s="39"/>
      <c r="BC381" s="39"/>
      <c r="BI381" s="39"/>
      <c r="BJ381" s="39"/>
      <c r="BK381" s="39"/>
      <c r="BQ381" s="39"/>
      <c r="BR381" s="39"/>
      <c r="BS381" s="39"/>
      <c r="BY381" s="39"/>
      <c r="BZ381" s="39"/>
      <c r="CA381" s="39"/>
      <c r="CG381" s="39"/>
      <c r="CH381" s="39"/>
      <c r="CI381" s="39"/>
    </row>
    <row r="382" spans="2:87" ht="15.75" customHeight="1">
      <c r="B382" s="2"/>
      <c r="C382" s="10"/>
      <c r="F382" s="39"/>
      <c r="G382" s="39"/>
      <c r="H382" s="39"/>
      <c r="I382" s="39"/>
      <c r="M382" s="39"/>
      <c r="N382" s="39"/>
      <c r="O382" s="39"/>
      <c r="U382" s="39"/>
      <c r="V382" s="39"/>
      <c r="W382" s="39"/>
      <c r="AC382" s="39"/>
      <c r="AD382" s="39"/>
      <c r="AE382" s="39"/>
      <c r="AK382" s="39"/>
      <c r="AL382" s="39"/>
      <c r="AM382" s="39"/>
      <c r="AS382" s="39"/>
      <c r="AT382" s="39"/>
      <c r="AU382" s="39"/>
      <c r="AZ382" s="40"/>
      <c r="BA382" s="39"/>
      <c r="BB382" s="39"/>
      <c r="BC382" s="39"/>
      <c r="BI382" s="39"/>
      <c r="BJ382" s="39"/>
      <c r="BK382" s="39"/>
      <c r="BQ382" s="39"/>
      <c r="BR382" s="39"/>
      <c r="BS382" s="39"/>
      <c r="BY382" s="39"/>
      <c r="BZ382" s="39"/>
      <c r="CA382" s="39"/>
      <c r="CG382" s="39"/>
      <c r="CH382" s="39"/>
      <c r="CI382" s="39"/>
    </row>
    <row r="383" spans="2:87" ht="15.75" customHeight="1">
      <c r="B383" s="2"/>
      <c r="C383" s="10"/>
      <c r="F383" s="39"/>
      <c r="G383" s="39"/>
      <c r="H383" s="39"/>
      <c r="I383" s="39"/>
      <c r="M383" s="39"/>
      <c r="N383" s="39"/>
      <c r="O383" s="39"/>
      <c r="U383" s="39"/>
      <c r="V383" s="39"/>
      <c r="W383" s="39"/>
      <c r="AC383" s="39"/>
      <c r="AD383" s="39"/>
      <c r="AE383" s="39"/>
      <c r="AK383" s="39"/>
      <c r="AL383" s="39"/>
      <c r="AM383" s="39"/>
      <c r="AS383" s="39"/>
      <c r="AT383" s="39"/>
      <c r="AU383" s="39"/>
      <c r="AZ383" s="40"/>
      <c r="BA383" s="39"/>
      <c r="BB383" s="39"/>
      <c r="BC383" s="39"/>
      <c r="BI383" s="39"/>
      <c r="BJ383" s="39"/>
      <c r="BK383" s="39"/>
      <c r="BQ383" s="39"/>
      <c r="BR383" s="39"/>
      <c r="BS383" s="39"/>
      <c r="BY383" s="39"/>
      <c r="BZ383" s="39"/>
      <c r="CA383" s="39"/>
      <c r="CG383" s="39"/>
      <c r="CH383" s="39"/>
      <c r="CI383" s="39"/>
    </row>
    <row r="384" spans="2:87" ht="15.75" customHeight="1">
      <c r="B384" s="2"/>
      <c r="C384" s="10"/>
      <c r="F384" s="39"/>
      <c r="G384" s="39"/>
      <c r="H384" s="39"/>
      <c r="I384" s="39"/>
      <c r="M384" s="39"/>
      <c r="N384" s="39"/>
      <c r="O384" s="39"/>
      <c r="U384" s="39"/>
      <c r="V384" s="39"/>
      <c r="W384" s="39"/>
      <c r="AC384" s="39"/>
      <c r="AD384" s="39"/>
      <c r="AE384" s="39"/>
      <c r="AK384" s="39"/>
      <c r="AL384" s="39"/>
      <c r="AM384" s="39"/>
      <c r="AS384" s="39"/>
      <c r="AT384" s="39"/>
      <c r="AU384" s="39"/>
      <c r="AZ384" s="40"/>
      <c r="BA384" s="39"/>
      <c r="BB384" s="39"/>
      <c r="BC384" s="39"/>
      <c r="BI384" s="39"/>
      <c r="BJ384" s="39"/>
      <c r="BK384" s="39"/>
      <c r="BQ384" s="39"/>
      <c r="BR384" s="39"/>
      <c r="BS384" s="39"/>
      <c r="BY384" s="39"/>
      <c r="BZ384" s="39"/>
      <c r="CA384" s="39"/>
      <c r="CG384" s="39"/>
      <c r="CH384" s="39"/>
      <c r="CI384" s="39"/>
    </row>
    <row r="385" spans="2:87" ht="15.75" customHeight="1">
      <c r="B385" s="2"/>
      <c r="C385" s="10"/>
      <c r="F385" s="39"/>
      <c r="G385" s="39"/>
      <c r="H385" s="39"/>
      <c r="I385" s="39"/>
      <c r="M385" s="39"/>
      <c r="N385" s="39"/>
      <c r="O385" s="39"/>
      <c r="U385" s="39"/>
      <c r="V385" s="39"/>
      <c r="W385" s="39"/>
      <c r="AC385" s="39"/>
      <c r="AD385" s="39"/>
      <c r="AE385" s="39"/>
      <c r="AK385" s="39"/>
      <c r="AL385" s="39"/>
      <c r="AM385" s="39"/>
      <c r="AS385" s="39"/>
      <c r="AT385" s="39"/>
      <c r="AU385" s="39"/>
      <c r="AZ385" s="40"/>
      <c r="BA385" s="39"/>
      <c r="BB385" s="39"/>
      <c r="BC385" s="39"/>
      <c r="BI385" s="39"/>
      <c r="BJ385" s="39"/>
      <c r="BK385" s="39"/>
      <c r="BQ385" s="39"/>
      <c r="BR385" s="39"/>
      <c r="BS385" s="39"/>
      <c r="BY385" s="39"/>
      <c r="BZ385" s="39"/>
      <c r="CA385" s="39"/>
      <c r="CG385" s="39"/>
      <c r="CH385" s="39"/>
      <c r="CI385" s="39"/>
    </row>
    <row r="386" spans="2:87" ht="15.75" customHeight="1">
      <c r="B386" s="2"/>
      <c r="C386" s="10"/>
      <c r="F386" s="39"/>
      <c r="G386" s="39"/>
      <c r="H386" s="39"/>
      <c r="I386" s="39"/>
      <c r="M386" s="39"/>
      <c r="N386" s="39"/>
      <c r="O386" s="39"/>
      <c r="U386" s="39"/>
      <c r="V386" s="39"/>
      <c r="W386" s="39"/>
      <c r="AC386" s="39"/>
      <c r="AD386" s="39"/>
      <c r="AE386" s="39"/>
      <c r="AK386" s="39"/>
      <c r="AL386" s="39"/>
      <c r="AM386" s="39"/>
      <c r="AS386" s="39"/>
      <c r="AT386" s="39"/>
      <c r="AU386" s="39"/>
      <c r="AZ386" s="40"/>
      <c r="BA386" s="39"/>
      <c r="BB386" s="39"/>
      <c r="BC386" s="39"/>
      <c r="BI386" s="39"/>
      <c r="BJ386" s="39"/>
      <c r="BK386" s="39"/>
      <c r="BQ386" s="39"/>
      <c r="BR386" s="39"/>
      <c r="BS386" s="39"/>
      <c r="BY386" s="39"/>
      <c r="BZ386" s="39"/>
      <c r="CA386" s="39"/>
      <c r="CG386" s="39"/>
      <c r="CH386" s="39"/>
      <c r="CI386" s="39"/>
    </row>
    <row r="387" spans="2:87" ht="15.75" customHeight="1">
      <c r="B387" s="2"/>
      <c r="C387" s="10"/>
      <c r="F387" s="39"/>
      <c r="G387" s="39"/>
      <c r="H387" s="39"/>
      <c r="I387" s="39"/>
      <c r="M387" s="39"/>
      <c r="N387" s="39"/>
      <c r="O387" s="39"/>
      <c r="U387" s="39"/>
      <c r="V387" s="39"/>
      <c r="W387" s="39"/>
      <c r="AC387" s="39"/>
      <c r="AD387" s="39"/>
      <c r="AE387" s="39"/>
      <c r="AK387" s="39"/>
      <c r="AL387" s="39"/>
      <c r="AM387" s="39"/>
      <c r="AS387" s="39"/>
      <c r="AT387" s="39"/>
      <c r="AU387" s="39"/>
      <c r="AZ387" s="40"/>
      <c r="BA387" s="39"/>
      <c r="BB387" s="39"/>
      <c r="BC387" s="39"/>
      <c r="BI387" s="39"/>
      <c r="BJ387" s="39"/>
      <c r="BK387" s="39"/>
      <c r="BQ387" s="39"/>
      <c r="BR387" s="39"/>
      <c r="BS387" s="39"/>
      <c r="BY387" s="39"/>
      <c r="BZ387" s="39"/>
      <c r="CA387" s="39"/>
      <c r="CG387" s="39"/>
      <c r="CH387" s="39"/>
      <c r="CI387" s="39"/>
    </row>
    <row r="388" spans="2:87" ht="15.75" customHeight="1">
      <c r="B388" s="2"/>
      <c r="C388" s="10"/>
      <c r="F388" s="39"/>
      <c r="G388" s="39"/>
      <c r="H388" s="39"/>
      <c r="I388" s="39"/>
      <c r="M388" s="39"/>
      <c r="N388" s="39"/>
      <c r="O388" s="39"/>
      <c r="U388" s="39"/>
      <c r="V388" s="39"/>
      <c r="W388" s="39"/>
      <c r="AC388" s="39"/>
      <c r="AD388" s="39"/>
      <c r="AE388" s="39"/>
      <c r="AK388" s="39"/>
      <c r="AL388" s="39"/>
      <c r="AM388" s="39"/>
      <c r="AS388" s="39"/>
      <c r="AT388" s="39"/>
      <c r="AU388" s="39"/>
      <c r="AZ388" s="40"/>
      <c r="BA388" s="39"/>
      <c r="BB388" s="39"/>
      <c r="BC388" s="39"/>
      <c r="BI388" s="39"/>
      <c r="BJ388" s="39"/>
      <c r="BK388" s="39"/>
      <c r="BQ388" s="39"/>
      <c r="BR388" s="39"/>
      <c r="BS388" s="39"/>
      <c r="BY388" s="39"/>
      <c r="BZ388" s="39"/>
      <c r="CA388" s="39"/>
      <c r="CG388" s="39"/>
      <c r="CH388" s="39"/>
      <c r="CI388" s="39"/>
    </row>
    <row r="389" spans="2:87" ht="15.75" customHeight="1">
      <c r="B389" s="2"/>
      <c r="C389" s="10"/>
      <c r="F389" s="39"/>
      <c r="G389" s="39"/>
      <c r="H389" s="39"/>
      <c r="I389" s="39"/>
      <c r="M389" s="39"/>
      <c r="N389" s="39"/>
      <c r="O389" s="39"/>
      <c r="U389" s="39"/>
      <c r="V389" s="39"/>
      <c r="W389" s="39"/>
      <c r="AC389" s="39"/>
      <c r="AD389" s="39"/>
      <c r="AE389" s="39"/>
      <c r="AK389" s="39"/>
      <c r="AL389" s="39"/>
      <c r="AM389" s="39"/>
      <c r="AS389" s="39"/>
      <c r="AT389" s="39"/>
      <c r="AU389" s="39"/>
      <c r="AZ389" s="40"/>
      <c r="BA389" s="39"/>
      <c r="BB389" s="39"/>
      <c r="BC389" s="39"/>
      <c r="BI389" s="39"/>
      <c r="BJ389" s="39"/>
      <c r="BK389" s="39"/>
      <c r="BQ389" s="39"/>
      <c r="BR389" s="39"/>
      <c r="BS389" s="39"/>
      <c r="BY389" s="39"/>
      <c r="BZ389" s="39"/>
      <c r="CA389" s="39"/>
      <c r="CG389" s="39"/>
      <c r="CH389" s="39"/>
      <c r="CI389" s="39"/>
    </row>
    <row r="390" spans="2:87" ht="15.75" customHeight="1">
      <c r="B390" s="2"/>
      <c r="C390" s="10"/>
      <c r="F390" s="39"/>
      <c r="G390" s="39"/>
      <c r="H390" s="39"/>
      <c r="I390" s="39"/>
      <c r="M390" s="39"/>
      <c r="N390" s="39"/>
      <c r="O390" s="39"/>
      <c r="U390" s="39"/>
      <c r="V390" s="39"/>
      <c r="W390" s="39"/>
      <c r="AC390" s="39"/>
      <c r="AD390" s="39"/>
      <c r="AE390" s="39"/>
      <c r="AK390" s="39"/>
      <c r="AL390" s="39"/>
      <c r="AM390" s="39"/>
      <c r="AS390" s="39"/>
      <c r="AT390" s="39"/>
      <c r="AU390" s="39"/>
      <c r="AZ390" s="40"/>
      <c r="BA390" s="39"/>
      <c r="BB390" s="39"/>
      <c r="BC390" s="39"/>
      <c r="BI390" s="39"/>
      <c r="BJ390" s="39"/>
      <c r="BK390" s="39"/>
      <c r="BQ390" s="39"/>
      <c r="BR390" s="39"/>
      <c r="BS390" s="39"/>
      <c r="BY390" s="39"/>
      <c r="BZ390" s="39"/>
      <c r="CA390" s="39"/>
      <c r="CG390" s="39"/>
      <c r="CH390" s="39"/>
      <c r="CI390" s="39"/>
    </row>
    <row r="391" spans="2:87" ht="15.75" customHeight="1">
      <c r="B391" s="2"/>
      <c r="C391" s="10"/>
      <c r="F391" s="39"/>
      <c r="G391" s="39"/>
      <c r="H391" s="39"/>
      <c r="I391" s="39"/>
      <c r="M391" s="39"/>
      <c r="N391" s="39"/>
      <c r="O391" s="39"/>
      <c r="U391" s="39"/>
      <c r="V391" s="39"/>
      <c r="W391" s="39"/>
      <c r="AC391" s="39"/>
      <c r="AD391" s="39"/>
      <c r="AE391" s="39"/>
      <c r="AK391" s="39"/>
      <c r="AL391" s="39"/>
      <c r="AM391" s="39"/>
      <c r="AS391" s="39"/>
      <c r="AT391" s="39"/>
      <c r="AU391" s="39"/>
      <c r="AZ391" s="40"/>
      <c r="BA391" s="39"/>
      <c r="BB391" s="39"/>
      <c r="BC391" s="39"/>
      <c r="BI391" s="39"/>
      <c r="BJ391" s="39"/>
      <c r="BK391" s="39"/>
      <c r="BQ391" s="39"/>
      <c r="BR391" s="39"/>
      <c r="BS391" s="39"/>
      <c r="BY391" s="39"/>
      <c r="BZ391" s="39"/>
      <c r="CA391" s="39"/>
      <c r="CG391" s="39"/>
      <c r="CH391" s="39"/>
      <c r="CI391" s="39"/>
    </row>
    <row r="392" spans="2:87" ht="15.75" customHeight="1">
      <c r="B392" s="2"/>
      <c r="C392" s="10"/>
      <c r="F392" s="39"/>
      <c r="G392" s="39"/>
      <c r="H392" s="39"/>
      <c r="I392" s="39"/>
      <c r="M392" s="39"/>
      <c r="N392" s="39"/>
      <c r="O392" s="39"/>
      <c r="U392" s="39"/>
      <c r="V392" s="39"/>
      <c r="W392" s="39"/>
      <c r="AC392" s="39"/>
      <c r="AD392" s="39"/>
      <c r="AE392" s="39"/>
      <c r="AK392" s="39"/>
      <c r="AL392" s="39"/>
      <c r="AM392" s="39"/>
      <c r="AS392" s="39"/>
      <c r="AT392" s="39"/>
      <c r="AU392" s="39"/>
      <c r="AZ392" s="40"/>
      <c r="BA392" s="39"/>
      <c r="BB392" s="39"/>
      <c r="BC392" s="39"/>
      <c r="BI392" s="39"/>
      <c r="BJ392" s="39"/>
      <c r="BK392" s="39"/>
      <c r="BQ392" s="39"/>
      <c r="BR392" s="39"/>
      <c r="BS392" s="39"/>
      <c r="BY392" s="39"/>
      <c r="BZ392" s="39"/>
      <c r="CA392" s="39"/>
      <c r="CG392" s="39"/>
      <c r="CH392" s="39"/>
      <c r="CI392" s="39"/>
    </row>
    <row r="393" spans="2:87" ht="15.75" customHeight="1">
      <c r="B393" s="2"/>
      <c r="C393" s="10"/>
      <c r="F393" s="39"/>
      <c r="G393" s="39"/>
      <c r="H393" s="39"/>
      <c r="I393" s="39"/>
      <c r="M393" s="39"/>
      <c r="N393" s="39"/>
      <c r="O393" s="39"/>
      <c r="U393" s="39"/>
      <c r="V393" s="39"/>
      <c r="W393" s="39"/>
      <c r="AC393" s="39"/>
      <c r="AD393" s="39"/>
      <c r="AE393" s="39"/>
      <c r="AK393" s="39"/>
      <c r="AL393" s="39"/>
      <c r="AM393" s="39"/>
      <c r="AS393" s="39"/>
      <c r="AT393" s="39"/>
      <c r="AU393" s="39"/>
      <c r="AZ393" s="40"/>
      <c r="BA393" s="39"/>
      <c r="BB393" s="39"/>
      <c r="BC393" s="39"/>
      <c r="BI393" s="39"/>
      <c r="BJ393" s="39"/>
      <c r="BK393" s="39"/>
      <c r="BQ393" s="39"/>
      <c r="BR393" s="39"/>
      <c r="BS393" s="39"/>
      <c r="BY393" s="39"/>
      <c r="BZ393" s="39"/>
      <c r="CA393" s="39"/>
      <c r="CG393" s="39"/>
      <c r="CH393" s="39"/>
      <c r="CI393" s="39"/>
    </row>
    <row r="394" spans="2:87" ht="15.75" customHeight="1">
      <c r="B394" s="2"/>
      <c r="C394" s="10"/>
      <c r="F394" s="39"/>
      <c r="G394" s="39"/>
      <c r="H394" s="39"/>
      <c r="I394" s="39"/>
      <c r="M394" s="39"/>
      <c r="N394" s="39"/>
      <c r="O394" s="39"/>
      <c r="U394" s="39"/>
      <c r="V394" s="39"/>
      <c r="W394" s="39"/>
      <c r="AC394" s="39"/>
      <c r="AD394" s="39"/>
      <c r="AE394" s="39"/>
      <c r="AK394" s="39"/>
      <c r="AL394" s="39"/>
      <c r="AM394" s="39"/>
      <c r="AS394" s="39"/>
      <c r="AT394" s="39"/>
      <c r="AU394" s="39"/>
      <c r="AZ394" s="40"/>
      <c r="BA394" s="39"/>
      <c r="BB394" s="39"/>
      <c r="BC394" s="39"/>
      <c r="BI394" s="39"/>
      <c r="BJ394" s="39"/>
      <c r="BK394" s="39"/>
      <c r="BQ394" s="39"/>
      <c r="BR394" s="39"/>
      <c r="BS394" s="39"/>
      <c r="BY394" s="39"/>
      <c r="BZ394" s="39"/>
      <c r="CA394" s="39"/>
      <c r="CG394" s="39"/>
      <c r="CH394" s="39"/>
      <c r="CI394" s="39"/>
    </row>
    <row r="395" spans="2:87" ht="15.75" customHeight="1">
      <c r="B395" s="2"/>
      <c r="C395" s="10"/>
      <c r="F395" s="39"/>
      <c r="G395" s="39"/>
      <c r="H395" s="39"/>
      <c r="I395" s="39"/>
      <c r="M395" s="39"/>
      <c r="N395" s="39"/>
      <c r="O395" s="39"/>
      <c r="U395" s="39"/>
      <c r="V395" s="39"/>
      <c r="W395" s="39"/>
      <c r="AC395" s="39"/>
      <c r="AD395" s="39"/>
      <c r="AE395" s="39"/>
      <c r="AK395" s="39"/>
      <c r="AL395" s="39"/>
      <c r="AM395" s="39"/>
      <c r="AS395" s="39"/>
      <c r="AT395" s="39"/>
      <c r="AU395" s="39"/>
      <c r="AZ395" s="40"/>
      <c r="BA395" s="39"/>
      <c r="BB395" s="39"/>
      <c r="BC395" s="39"/>
      <c r="BI395" s="39"/>
      <c r="BJ395" s="39"/>
      <c r="BK395" s="39"/>
      <c r="BQ395" s="39"/>
      <c r="BR395" s="39"/>
      <c r="BS395" s="39"/>
      <c r="BY395" s="39"/>
      <c r="BZ395" s="39"/>
      <c r="CA395" s="39"/>
      <c r="CG395" s="39"/>
      <c r="CH395" s="39"/>
      <c r="CI395" s="39"/>
    </row>
    <row r="396" spans="2:87" ht="15.75" customHeight="1">
      <c r="B396" s="2"/>
      <c r="C396" s="10"/>
      <c r="F396" s="39"/>
      <c r="G396" s="39"/>
      <c r="H396" s="39"/>
      <c r="I396" s="39"/>
      <c r="M396" s="39"/>
      <c r="N396" s="39"/>
      <c r="O396" s="39"/>
      <c r="U396" s="39"/>
      <c r="V396" s="39"/>
      <c r="W396" s="39"/>
      <c r="AC396" s="39"/>
      <c r="AD396" s="39"/>
      <c r="AE396" s="39"/>
      <c r="AK396" s="39"/>
      <c r="AL396" s="39"/>
      <c r="AM396" s="39"/>
      <c r="AS396" s="39"/>
      <c r="AT396" s="39"/>
      <c r="AU396" s="39"/>
      <c r="AZ396" s="40"/>
      <c r="BA396" s="39"/>
      <c r="BB396" s="39"/>
      <c r="BC396" s="39"/>
      <c r="BI396" s="39"/>
      <c r="BJ396" s="39"/>
      <c r="BK396" s="39"/>
      <c r="BQ396" s="39"/>
      <c r="BR396" s="39"/>
      <c r="BS396" s="39"/>
      <c r="BY396" s="39"/>
      <c r="BZ396" s="39"/>
      <c r="CA396" s="39"/>
      <c r="CG396" s="39"/>
      <c r="CH396" s="39"/>
      <c r="CI396" s="39"/>
    </row>
    <row r="397" spans="2:87" ht="15.75" customHeight="1">
      <c r="B397" s="2"/>
      <c r="C397" s="10"/>
      <c r="F397" s="39"/>
      <c r="G397" s="39"/>
      <c r="H397" s="39"/>
      <c r="I397" s="39"/>
      <c r="M397" s="39"/>
      <c r="N397" s="39"/>
      <c r="O397" s="39"/>
      <c r="U397" s="39"/>
      <c r="V397" s="39"/>
      <c r="W397" s="39"/>
      <c r="AC397" s="39"/>
      <c r="AD397" s="39"/>
      <c r="AE397" s="39"/>
      <c r="AK397" s="39"/>
      <c r="AL397" s="39"/>
      <c r="AM397" s="39"/>
      <c r="AS397" s="39"/>
      <c r="AT397" s="39"/>
      <c r="AU397" s="39"/>
      <c r="AZ397" s="40"/>
      <c r="BA397" s="39"/>
      <c r="BB397" s="39"/>
      <c r="BC397" s="39"/>
      <c r="BI397" s="39"/>
      <c r="BJ397" s="39"/>
      <c r="BK397" s="39"/>
      <c r="BQ397" s="39"/>
      <c r="BR397" s="39"/>
      <c r="BS397" s="39"/>
      <c r="BY397" s="39"/>
      <c r="BZ397" s="39"/>
      <c r="CA397" s="39"/>
      <c r="CG397" s="39"/>
      <c r="CH397" s="39"/>
      <c r="CI397" s="39"/>
    </row>
    <row r="398" spans="2:87" ht="15.75" customHeight="1">
      <c r="B398" s="2"/>
      <c r="C398" s="10"/>
      <c r="F398" s="39"/>
      <c r="G398" s="39"/>
      <c r="H398" s="39"/>
      <c r="I398" s="39"/>
      <c r="M398" s="39"/>
      <c r="N398" s="39"/>
      <c r="O398" s="39"/>
      <c r="U398" s="39"/>
      <c r="V398" s="39"/>
      <c r="W398" s="39"/>
      <c r="AC398" s="39"/>
      <c r="AD398" s="39"/>
      <c r="AE398" s="39"/>
      <c r="AK398" s="39"/>
      <c r="AL398" s="39"/>
      <c r="AM398" s="39"/>
      <c r="AS398" s="39"/>
      <c r="AT398" s="39"/>
      <c r="AU398" s="39"/>
      <c r="AZ398" s="40"/>
      <c r="BA398" s="39"/>
      <c r="BB398" s="39"/>
      <c r="BC398" s="39"/>
      <c r="BI398" s="39"/>
      <c r="BJ398" s="39"/>
      <c r="BK398" s="39"/>
      <c r="BQ398" s="39"/>
      <c r="BR398" s="39"/>
      <c r="BS398" s="39"/>
      <c r="BY398" s="39"/>
      <c r="BZ398" s="39"/>
      <c r="CA398" s="39"/>
      <c r="CG398" s="39"/>
      <c r="CH398" s="39"/>
      <c r="CI398" s="39"/>
    </row>
    <row r="399" spans="2:87" ht="15.75" customHeight="1">
      <c r="B399" s="2"/>
      <c r="C399" s="10"/>
      <c r="F399" s="39"/>
      <c r="G399" s="39"/>
      <c r="H399" s="39"/>
      <c r="I399" s="39"/>
      <c r="M399" s="39"/>
      <c r="N399" s="39"/>
      <c r="O399" s="39"/>
      <c r="U399" s="39"/>
      <c r="V399" s="39"/>
      <c r="W399" s="39"/>
      <c r="AC399" s="39"/>
      <c r="AD399" s="39"/>
      <c r="AE399" s="39"/>
      <c r="AK399" s="39"/>
      <c r="AL399" s="39"/>
      <c r="AM399" s="39"/>
      <c r="AS399" s="39"/>
      <c r="AT399" s="39"/>
      <c r="AU399" s="39"/>
      <c r="AZ399" s="40"/>
      <c r="BA399" s="39"/>
      <c r="BB399" s="39"/>
      <c r="BC399" s="39"/>
      <c r="BI399" s="39"/>
      <c r="BJ399" s="39"/>
      <c r="BK399" s="39"/>
      <c r="BQ399" s="39"/>
      <c r="BR399" s="39"/>
      <c r="BS399" s="39"/>
      <c r="BY399" s="39"/>
      <c r="BZ399" s="39"/>
      <c r="CA399" s="39"/>
      <c r="CG399" s="39"/>
      <c r="CH399" s="39"/>
      <c r="CI399" s="39"/>
    </row>
    <row r="400" spans="2:87" ht="15.75" customHeight="1">
      <c r="B400" s="2"/>
      <c r="C400" s="10"/>
      <c r="F400" s="39"/>
      <c r="G400" s="39"/>
      <c r="H400" s="39"/>
      <c r="I400" s="39"/>
      <c r="M400" s="39"/>
      <c r="N400" s="39"/>
      <c r="O400" s="39"/>
      <c r="U400" s="39"/>
      <c r="V400" s="39"/>
      <c r="W400" s="39"/>
      <c r="AC400" s="39"/>
      <c r="AD400" s="39"/>
      <c r="AE400" s="39"/>
      <c r="AK400" s="39"/>
      <c r="AL400" s="39"/>
      <c r="AM400" s="39"/>
      <c r="AS400" s="39"/>
      <c r="AT400" s="39"/>
      <c r="AU400" s="39"/>
      <c r="AZ400" s="40"/>
      <c r="BA400" s="39"/>
      <c r="BB400" s="39"/>
      <c r="BC400" s="39"/>
      <c r="BI400" s="39"/>
      <c r="BJ400" s="39"/>
      <c r="BK400" s="39"/>
      <c r="BQ400" s="39"/>
      <c r="BR400" s="39"/>
      <c r="BS400" s="39"/>
      <c r="BY400" s="39"/>
      <c r="BZ400" s="39"/>
      <c r="CA400" s="39"/>
      <c r="CG400" s="39"/>
      <c r="CH400" s="39"/>
      <c r="CI400" s="39"/>
    </row>
    <row r="401" spans="2:87" ht="15.75" customHeight="1">
      <c r="B401" s="2"/>
      <c r="C401" s="10"/>
      <c r="F401" s="39"/>
      <c r="G401" s="39"/>
      <c r="H401" s="39"/>
      <c r="I401" s="39"/>
      <c r="M401" s="39"/>
      <c r="N401" s="39"/>
      <c r="O401" s="39"/>
      <c r="U401" s="39"/>
      <c r="V401" s="39"/>
      <c r="W401" s="39"/>
      <c r="AC401" s="39"/>
      <c r="AD401" s="39"/>
      <c r="AE401" s="39"/>
      <c r="AK401" s="39"/>
      <c r="AL401" s="39"/>
      <c r="AM401" s="39"/>
      <c r="AS401" s="39"/>
      <c r="AT401" s="39"/>
      <c r="AU401" s="39"/>
      <c r="AZ401" s="40"/>
      <c r="BA401" s="39"/>
      <c r="BB401" s="39"/>
      <c r="BC401" s="39"/>
      <c r="BI401" s="39"/>
      <c r="BJ401" s="39"/>
      <c r="BK401" s="39"/>
      <c r="BQ401" s="39"/>
      <c r="BR401" s="39"/>
      <c r="BS401" s="39"/>
      <c r="BY401" s="39"/>
      <c r="BZ401" s="39"/>
      <c r="CA401" s="39"/>
      <c r="CG401" s="39"/>
      <c r="CH401" s="39"/>
      <c r="CI401" s="39"/>
    </row>
    <row r="402" spans="2:87" ht="15.75" customHeight="1">
      <c r="B402" s="2"/>
      <c r="C402" s="10"/>
      <c r="F402" s="39"/>
      <c r="G402" s="39"/>
      <c r="H402" s="39"/>
      <c r="I402" s="39"/>
      <c r="M402" s="39"/>
      <c r="N402" s="39"/>
      <c r="O402" s="39"/>
      <c r="U402" s="39"/>
      <c r="V402" s="39"/>
      <c r="W402" s="39"/>
      <c r="AC402" s="39"/>
      <c r="AD402" s="39"/>
      <c r="AE402" s="39"/>
      <c r="AK402" s="39"/>
      <c r="AL402" s="39"/>
      <c r="AM402" s="39"/>
      <c r="AS402" s="39"/>
      <c r="AT402" s="39"/>
      <c r="AU402" s="39"/>
      <c r="AZ402" s="40"/>
      <c r="BA402" s="39"/>
      <c r="BB402" s="39"/>
      <c r="BC402" s="39"/>
      <c r="BI402" s="39"/>
      <c r="BJ402" s="39"/>
      <c r="BK402" s="39"/>
      <c r="BQ402" s="39"/>
      <c r="BR402" s="39"/>
      <c r="BS402" s="39"/>
      <c r="BY402" s="39"/>
      <c r="BZ402" s="39"/>
      <c r="CA402" s="39"/>
      <c r="CG402" s="39"/>
      <c r="CH402" s="39"/>
      <c r="CI402" s="39"/>
    </row>
    <row r="403" spans="2:87" ht="15.75" customHeight="1">
      <c r="B403" s="2"/>
      <c r="C403" s="10"/>
      <c r="F403" s="39"/>
      <c r="G403" s="39"/>
      <c r="H403" s="39"/>
      <c r="I403" s="39"/>
      <c r="M403" s="39"/>
      <c r="N403" s="39"/>
      <c r="O403" s="39"/>
      <c r="U403" s="39"/>
      <c r="V403" s="39"/>
      <c r="W403" s="39"/>
      <c r="AC403" s="39"/>
      <c r="AD403" s="39"/>
      <c r="AE403" s="39"/>
      <c r="AK403" s="39"/>
      <c r="AL403" s="39"/>
      <c r="AM403" s="39"/>
      <c r="AS403" s="39"/>
      <c r="AT403" s="39"/>
      <c r="AU403" s="39"/>
      <c r="AZ403" s="40"/>
      <c r="BA403" s="39"/>
      <c r="BB403" s="39"/>
      <c r="BC403" s="39"/>
      <c r="BI403" s="39"/>
      <c r="BJ403" s="39"/>
      <c r="BK403" s="39"/>
      <c r="BQ403" s="39"/>
      <c r="BR403" s="39"/>
      <c r="BS403" s="39"/>
      <c r="BY403" s="39"/>
      <c r="BZ403" s="39"/>
      <c r="CA403" s="39"/>
      <c r="CG403" s="39"/>
      <c r="CH403" s="39"/>
      <c r="CI403" s="39"/>
    </row>
    <row r="404" spans="2:87" ht="15.75" customHeight="1">
      <c r="B404" s="2"/>
      <c r="C404" s="10"/>
      <c r="F404" s="39"/>
      <c r="G404" s="39"/>
      <c r="H404" s="39"/>
      <c r="I404" s="39"/>
      <c r="M404" s="39"/>
      <c r="N404" s="39"/>
      <c r="O404" s="39"/>
      <c r="U404" s="39"/>
      <c r="V404" s="39"/>
      <c r="W404" s="39"/>
      <c r="AC404" s="39"/>
      <c r="AD404" s="39"/>
      <c r="AE404" s="39"/>
      <c r="AK404" s="39"/>
      <c r="AL404" s="39"/>
      <c r="AM404" s="39"/>
      <c r="AS404" s="39"/>
      <c r="AT404" s="39"/>
      <c r="AU404" s="39"/>
      <c r="AZ404" s="40"/>
      <c r="BA404" s="39"/>
      <c r="BB404" s="39"/>
      <c r="BC404" s="39"/>
      <c r="BI404" s="39"/>
      <c r="BJ404" s="39"/>
      <c r="BK404" s="39"/>
      <c r="BQ404" s="39"/>
      <c r="BR404" s="39"/>
      <c r="BS404" s="39"/>
      <c r="BY404" s="39"/>
      <c r="BZ404" s="39"/>
      <c r="CA404" s="39"/>
      <c r="CG404" s="39"/>
      <c r="CH404" s="39"/>
      <c r="CI404" s="39"/>
    </row>
    <row r="405" spans="2:87" ht="15.75" customHeight="1">
      <c r="B405" s="2"/>
      <c r="C405" s="10"/>
      <c r="F405" s="39"/>
      <c r="G405" s="39"/>
      <c r="H405" s="39"/>
      <c r="I405" s="39"/>
      <c r="M405" s="39"/>
      <c r="N405" s="39"/>
      <c r="O405" s="39"/>
      <c r="U405" s="39"/>
      <c r="V405" s="39"/>
      <c r="W405" s="39"/>
      <c r="AC405" s="39"/>
      <c r="AD405" s="39"/>
      <c r="AE405" s="39"/>
      <c r="AK405" s="39"/>
      <c r="AL405" s="39"/>
      <c r="AM405" s="39"/>
      <c r="AS405" s="39"/>
      <c r="AT405" s="39"/>
      <c r="AU405" s="39"/>
      <c r="AZ405" s="40"/>
      <c r="BA405" s="39"/>
      <c r="BB405" s="39"/>
      <c r="BC405" s="39"/>
      <c r="BI405" s="39"/>
      <c r="BJ405" s="39"/>
      <c r="BK405" s="39"/>
      <c r="BQ405" s="39"/>
      <c r="BR405" s="39"/>
      <c r="BS405" s="39"/>
      <c r="BY405" s="39"/>
      <c r="BZ405" s="39"/>
      <c r="CA405" s="39"/>
      <c r="CG405" s="39"/>
      <c r="CH405" s="39"/>
      <c r="CI405" s="39"/>
    </row>
    <row r="406" spans="2:87" ht="15.75" customHeight="1">
      <c r="B406" s="2"/>
      <c r="C406" s="10"/>
      <c r="F406" s="39"/>
      <c r="G406" s="39"/>
      <c r="H406" s="39"/>
      <c r="I406" s="39"/>
      <c r="M406" s="39"/>
      <c r="N406" s="39"/>
      <c r="O406" s="39"/>
      <c r="U406" s="39"/>
      <c r="V406" s="39"/>
      <c r="W406" s="39"/>
      <c r="AC406" s="39"/>
      <c r="AD406" s="39"/>
      <c r="AE406" s="39"/>
      <c r="AK406" s="39"/>
      <c r="AL406" s="39"/>
      <c r="AM406" s="39"/>
      <c r="AS406" s="39"/>
      <c r="AT406" s="39"/>
      <c r="AU406" s="39"/>
      <c r="AZ406" s="40"/>
      <c r="BA406" s="39"/>
      <c r="BB406" s="39"/>
      <c r="BC406" s="39"/>
      <c r="BI406" s="39"/>
      <c r="BJ406" s="39"/>
      <c r="BK406" s="39"/>
      <c r="BQ406" s="39"/>
      <c r="BR406" s="39"/>
      <c r="BS406" s="39"/>
      <c r="BY406" s="39"/>
      <c r="BZ406" s="39"/>
      <c r="CA406" s="39"/>
      <c r="CG406" s="39"/>
      <c r="CH406" s="39"/>
      <c r="CI406" s="39"/>
    </row>
    <row r="407" spans="2:87" ht="15.75" customHeight="1">
      <c r="B407" s="2"/>
      <c r="C407" s="10"/>
      <c r="F407" s="39"/>
      <c r="G407" s="39"/>
      <c r="H407" s="39"/>
      <c r="I407" s="39"/>
      <c r="M407" s="39"/>
      <c r="N407" s="39"/>
      <c r="O407" s="39"/>
      <c r="U407" s="39"/>
      <c r="V407" s="39"/>
      <c r="W407" s="39"/>
      <c r="AC407" s="39"/>
      <c r="AD407" s="39"/>
      <c r="AE407" s="39"/>
      <c r="AK407" s="39"/>
      <c r="AL407" s="39"/>
      <c r="AM407" s="39"/>
      <c r="AS407" s="39"/>
      <c r="AT407" s="39"/>
      <c r="AU407" s="39"/>
      <c r="AZ407" s="40"/>
      <c r="BA407" s="39"/>
      <c r="BB407" s="39"/>
      <c r="BC407" s="39"/>
      <c r="BI407" s="39"/>
      <c r="BJ407" s="39"/>
      <c r="BK407" s="39"/>
      <c r="BQ407" s="39"/>
      <c r="BR407" s="39"/>
      <c r="BS407" s="39"/>
      <c r="BY407" s="39"/>
      <c r="BZ407" s="39"/>
      <c r="CA407" s="39"/>
      <c r="CG407" s="39"/>
      <c r="CH407" s="39"/>
      <c r="CI407" s="39"/>
    </row>
    <row r="408" spans="2:87" ht="15.75" customHeight="1">
      <c r="B408" s="2"/>
      <c r="C408" s="10"/>
      <c r="F408" s="39"/>
      <c r="G408" s="39"/>
      <c r="H408" s="39"/>
      <c r="I408" s="39"/>
      <c r="M408" s="39"/>
      <c r="N408" s="39"/>
      <c r="O408" s="39"/>
      <c r="U408" s="39"/>
      <c r="V408" s="39"/>
      <c r="W408" s="39"/>
      <c r="AC408" s="39"/>
      <c r="AD408" s="39"/>
      <c r="AE408" s="39"/>
      <c r="AK408" s="39"/>
      <c r="AL408" s="39"/>
      <c r="AM408" s="39"/>
      <c r="AS408" s="39"/>
      <c r="AT408" s="39"/>
      <c r="AU408" s="39"/>
      <c r="AZ408" s="40"/>
      <c r="BA408" s="39"/>
      <c r="BB408" s="39"/>
      <c r="BC408" s="39"/>
      <c r="BI408" s="39"/>
      <c r="BJ408" s="39"/>
      <c r="BK408" s="39"/>
      <c r="BQ408" s="39"/>
      <c r="BR408" s="39"/>
      <c r="BS408" s="39"/>
      <c r="BY408" s="39"/>
      <c r="BZ408" s="39"/>
      <c r="CA408" s="39"/>
      <c r="CG408" s="39"/>
      <c r="CH408" s="39"/>
      <c r="CI408" s="39"/>
    </row>
    <row r="409" spans="2:87" ht="15.75" customHeight="1">
      <c r="B409" s="2"/>
      <c r="C409" s="10"/>
      <c r="F409" s="39"/>
      <c r="G409" s="39"/>
      <c r="H409" s="39"/>
      <c r="I409" s="39"/>
      <c r="M409" s="39"/>
      <c r="N409" s="39"/>
      <c r="O409" s="39"/>
      <c r="U409" s="39"/>
      <c r="V409" s="39"/>
      <c r="W409" s="39"/>
      <c r="AC409" s="39"/>
      <c r="AD409" s="39"/>
      <c r="AE409" s="39"/>
      <c r="AK409" s="39"/>
      <c r="AL409" s="39"/>
      <c r="AM409" s="39"/>
      <c r="AS409" s="39"/>
      <c r="AT409" s="39"/>
      <c r="AU409" s="39"/>
      <c r="AZ409" s="40"/>
      <c r="BA409" s="39"/>
      <c r="BB409" s="39"/>
      <c r="BC409" s="39"/>
      <c r="BI409" s="39"/>
      <c r="BJ409" s="39"/>
      <c r="BK409" s="39"/>
      <c r="BQ409" s="39"/>
      <c r="BR409" s="39"/>
      <c r="BS409" s="39"/>
      <c r="BY409" s="39"/>
      <c r="BZ409" s="39"/>
      <c r="CA409" s="39"/>
      <c r="CG409" s="39"/>
      <c r="CH409" s="39"/>
      <c r="CI409" s="39"/>
    </row>
    <row r="410" spans="2:87" ht="15.75" customHeight="1">
      <c r="B410" s="2"/>
      <c r="C410" s="10"/>
      <c r="F410" s="39"/>
      <c r="G410" s="39"/>
      <c r="H410" s="39"/>
      <c r="I410" s="39"/>
      <c r="M410" s="39"/>
      <c r="N410" s="39"/>
      <c r="O410" s="39"/>
      <c r="U410" s="39"/>
      <c r="V410" s="39"/>
      <c r="W410" s="39"/>
      <c r="AC410" s="39"/>
      <c r="AD410" s="39"/>
      <c r="AE410" s="39"/>
      <c r="AK410" s="39"/>
      <c r="AL410" s="39"/>
      <c r="AM410" s="39"/>
      <c r="AS410" s="39"/>
      <c r="AT410" s="39"/>
      <c r="AU410" s="39"/>
      <c r="AZ410" s="40"/>
      <c r="BA410" s="39"/>
      <c r="BB410" s="39"/>
      <c r="BC410" s="39"/>
      <c r="BI410" s="39"/>
      <c r="BJ410" s="39"/>
      <c r="BK410" s="39"/>
      <c r="BQ410" s="39"/>
      <c r="BR410" s="39"/>
      <c r="BS410" s="39"/>
      <c r="BY410" s="39"/>
      <c r="BZ410" s="39"/>
      <c r="CA410" s="39"/>
      <c r="CG410" s="39"/>
      <c r="CH410" s="39"/>
      <c r="CI410" s="39"/>
    </row>
    <row r="411" spans="2:87" ht="15.75" customHeight="1">
      <c r="B411" s="2"/>
      <c r="C411" s="10"/>
      <c r="F411" s="39"/>
      <c r="G411" s="39"/>
      <c r="H411" s="39"/>
      <c r="I411" s="39"/>
      <c r="M411" s="39"/>
      <c r="N411" s="39"/>
      <c r="O411" s="39"/>
      <c r="U411" s="39"/>
      <c r="V411" s="39"/>
      <c r="W411" s="39"/>
      <c r="AC411" s="39"/>
      <c r="AD411" s="39"/>
      <c r="AE411" s="39"/>
      <c r="AK411" s="39"/>
      <c r="AL411" s="39"/>
      <c r="AM411" s="39"/>
      <c r="AS411" s="39"/>
      <c r="AT411" s="39"/>
      <c r="AU411" s="39"/>
      <c r="AZ411" s="40"/>
      <c r="BA411" s="39"/>
      <c r="BB411" s="39"/>
      <c r="BC411" s="39"/>
      <c r="BI411" s="39"/>
      <c r="BJ411" s="39"/>
      <c r="BK411" s="39"/>
      <c r="BQ411" s="39"/>
      <c r="BR411" s="39"/>
      <c r="BS411" s="39"/>
      <c r="BY411" s="39"/>
      <c r="BZ411" s="39"/>
      <c r="CA411" s="39"/>
      <c r="CG411" s="39"/>
      <c r="CH411" s="39"/>
      <c r="CI411" s="39"/>
    </row>
    <row r="412" spans="2:87" ht="15.75" customHeight="1">
      <c r="B412" s="2"/>
      <c r="C412" s="10"/>
      <c r="F412" s="39"/>
      <c r="G412" s="39"/>
      <c r="H412" s="39"/>
      <c r="I412" s="39"/>
      <c r="M412" s="39"/>
      <c r="N412" s="39"/>
      <c r="O412" s="39"/>
      <c r="U412" s="39"/>
      <c r="V412" s="39"/>
      <c r="W412" s="39"/>
      <c r="AC412" s="39"/>
      <c r="AD412" s="39"/>
      <c r="AE412" s="39"/>
      <c r="AK412" s="39"/>
      <c r="AL412" s="39"/>
      <c r="AM412" s="39"/>
      <c r="AS412" s="39"/>
      <c r="AT412" s="39"/>
      <c r="AU412" s="39"/>
      <c r="AZ412" s="40"/>
      <c r="BA412" s="39"/>
      <c r="BB412" s="39"/>
      <c r="BC412" s="39"/>
      <c r="BI412" s="39"/>
      <c r="BJ412" s="39"/>
      <c r="BK412" s="39"/>
      <c r="BQ412" s="39"/>
      <c r="BR412" s="39"/>
      <c r="BS412" s="39"/>
      <c r="BY412" s="39"/>
      <c r="BZ412" s="39"/>
      <c r="CA412" s="39"/>
      <c r="CG412" s="39"/>
      <c r="CH412" s="39"/>
      <c r="CI412" s="39"/>
    </row>
    <row r="413" spans="2:87" ht="15.75" customHeight="1">
      <c r="B413" s="2"/>
      <c r="C413" s="10"/>
      <c r="F413" s="39"/>
      <c r="G413" s="39"/>
      <c r="H413" s="39"/>
      <c r="I413" s="39"/>
      <c r="M413" s="39"/>
      <c r="N413" s="39"/>
      <c r="O413" s="39"/>
      <c r="U413" s="39"/>
      <c r="V413" s="39"/>
      <c r="W413" s="39"/>
      <c r="AC413" s="39"/>
      <c r="AD413" s="39"/>
      <c r="AE413" s="39"/>
      <c r="AK413" s="39"/>
      <c r="AL413" s="39"/>
      <c r="AM413" s="39"/>
      <c r="AS413" s="39"/>
      <c r="AT413" s="39"/>
      <c r="AU413" s="39"/>
      <c r="AZ413" s="40"/>
      <c r="BA413" s="39"/>
      <c r="BB413" s="39"/>
      <c r="BC413" s="39"/>
      <c r="BI413" s="39"/>
      <c r="BJ413" s="39"/>
      <c r="BK413" s="39"/>
      <c r="BQ413" s="39"/>
      <c r="BR413" s="39"/>
      <c r="BS413" s="39"/>
      <c r="BY413" s="39"/>
      <c r="BZ413" s="39"/>
      <c r="CA413" s="39"/>
      <c r="CG413" s="39"/>
      <c r="CH413" s="39"/>
      <c r="CI413" s="39"/>
    </row>
    <row r="414" spans="2:87" ht="15.75" customHeight="1">
      <c r="B414" s="2"/>
      <c r="C414" s="10"/>
      <c r="F414" s="39"/>
      <c r="G414" s="39"/>
      <c r="H414" s="39"/>
      <c r="I414" s="39"/>
      <c r="M414" s="39"/>
      <c r="N414" s="39"/>
      <c r="O414" s="39"/>
      <c r="U414" s="39"/>
      <c r="V414" s="39"/>
      <c r="W414" s="39"/>
      <c r="AC414" s="39"/>
      <c r="AD414" s="39"/>
      <c r="AE414" s="39"/>
      <c r="AK414" s="39"/>
      <c r="AL414" s="39"/>
      <c r="AM414" s="39"/>
      <c r="AS414" s="39"/>
      <c r="AT414" s="39"/>
      <c r="AU414" s="39"/>
      <c r="AZ414" s="40"/>
      <c r="BA414" s="39"/>
      <c r="BB414" s="39"/>
      <c r="BC414" s="39"/>
      <c r="BI414" s="39"/>
      <c r="BJ414" s="39"/>
      <c r="BK414" s="39"/>
      <c r="BQ414" s="39"/>
      <c r="BR414" s="39"/>
      <c r="BS414" s="39"/>
      <c r="BY414" s="39"/>
      <c r="BZ414" s="39"/>
      <c r="CA414" s="39"/>
      <c r="CG414" s="39"/>
      <c r="CH414" s="39"/>
      <c r="CI414" s="39"/>
    </row>
    <row r="415" spans="2:87" ht="15.75" customHeight="1">
      <c r="B415" s="2"/>
      <c r="C415" s="10"/>
      <c r="F415" s="39"/>
      <c r="G415" s="39"/>
      <c r="H415" s="39"/>
      <c r="I415" s="39"/>
      <c r="M415" s="39"/>
      <c r="N415" s="39"/>
      <c r="O415" s="39"/>
      <c r="U415" s="39"/>
      <c r="V415" s="39"/>
      <c r="W415" s="39"/>
      <c r="AC415" s="39"/>
      <c r="AD415" s="39"/>
      <c r="AE415" s="39"/>
      <c r="AK415" s="39"/>
      <c r="AL415" s="39"/>
      <c r="AM415" s="39"/>
      <c r="AS415" s="39"/>
      <c r="AT415" s="39"/>
      <c r="AU415" s="39"/>
      <c r="AZ415" s="40"/>
      <c r="BA415" s="39"/>
      <c r="BB415" s="39"/>
      <c r="BC415" s="39"/>
      <c r="BI415" s="39"/>
      <c r="BJ415" s="39"/>
      <c r="BK415" s="39"/>
      <c r="BQ415" s="39"/>
      <c r="BR415" s="39"/>
      <c r="BS415" s="39"/>
      <c r="BY415" s="39"/>
      <c r="BZ415" s="39"/>
      <c r="CA415" s="39"/>
      <c r="CG415" s="39"/>
      <c r="CH415" s="39"/>
      <c r="CI415" s="39"/>
    </row>
    <row r="416" spans="2:87" ht="15.75" customHeight="1">
      <c r="B416" s="2"/>
      <c r="C416" s="10"/>
      <c r="F416" s="39"/>
      <c r="G416" s="39"/>
      <c r="H416" s="39"/>
      <c r="I416" s="39"/>
      <c r="M416" s="39"/>
      <c r="N416" s="39"/>
      <c r="O416" s="39"/>
      <c r="U416" s="39"/>
      <c r="V416" s="39"/>
      <c r="W416" s="39"/>
      <c r="AC416" s="39"/>
      <c r="AD416" s="39"/>
      <c r="AE416" s="39"/>
      <c r="AK416" s="39"/>
      <c r="AL416" s="39"/>
      <c r="AM416" s="39"/>
      <c r="AS416" s="39"/>
      <c r="AT416" s="39"/>
      <c r="AU416" s="39"/>
      <c r="AZ416" s="40"/>
      <c r="BA416" s="39"/>
      <c r="BB416" s="39"/>
      <c r="BC416" s="39"/>
      <c r="BI416" s="39"/>
      <c r="BJ416" s="39"/>
      <c r="BK416" s="39"/>
      <c r="BQ416" s="39"/>
      <c r="BR416" s="39"/>
      <c r="BS416" s="39"/>
      <c r="BY416" s="39"/>
      <c r="BZ416" s="39"/>
      <c r="CA416" s="39"/>
      <c r="CG416" s="39"/>
      <c r="CH416" s="39"/>
      <c r="CI416" s="39"/>
    </row>
    <row r="417" spans="2:87" ht="15.75" customHeight="1">
      <c r="B417" s="2"/>
      <c r="C417" s="10"/>
      <c r="F417" s="39"/>
      <c r="G417" s="39"/>
      <c r="H417" s="39"/>
      <c r="I417" s="39"/>
      <c r="M417" s="39"/>
      <c r="N417" s="39"/>
      <c r="O417" s="39"/>
      <c r="U417" s="39"/>
      <c r="V417" s="39"/>
      <c r="W417" s="39"/>
      <c r="AC417" s="39"/>
      <c r="AD417" s="39"/>
      <c r="AE417" s="39"/>
      <c r="AK417" s="39"/>
      <c r="AL417" s="39"/>
      <c r="AM417" s="39"/>
      <c r="AS417" s="39"/>
      <c r="AT417" s="39"/>
      <c r="AU417" s="39"/>
      <c r="AZ417" s="40"/>
      <c r="BA417" s="39"/>
      <c r="BB417" s="39"/>
      <c r="BC417" s="39"/>
      <c r="BI417" s="39"/>
      <c r="BJ417" s="39"/>
      <c r="BK417" s="39"/>
      <c r="BQ417" s="39"/>
      <c r="BR417" s="39"/>
      <c r="BS417" s="39"/>
      <c r="BY417" s="39"/>
      <c r="BZ417" s="39"/>
      <c r="CA417" s="39"/>
      <c r="CG417" s="39"/>
      <c r="CH417" s="39"/>
      <c r="CI417" s="39"/>
    </row>
    <row r="418" spans="2:87" ht="15.75" customHeight="1">
      <c r="B418" s="2"/>
      <c r="C418" s="10"/>
      <c r="F418" s="39"/>
      <c r="G418" s="39"/>
      <c r="H418" s="39"/>
      <c r="I418" s="39"/>
      <c r="M418" s="39"/>
      <c r="N418" s="39"/>
      <c r="O418" s="39"/>
      <c r="U418" s="39"/>
      <c r="V418" s="39"/>
      <c r="W418" s="39"/>
      <c r="AC418" s="39"/>
      <c r="AD418" s="39"/>
      <c r="AE418" s="39"/>
      <c r="AK418" s="39"/>
      <c r="AL418" s="39"/>
      <c r="AM418" s="39"/>
      <c r="AS418" s="39"/>
      <c r="AT418" s="39"/>
      <c r="AU418" s="39"/>
      <c r="AZ418" s="40"/>
      <c r="BA418" s="39"/>
      <c r="BB418" s="39"/>
      <c r="BC418" s="39"/>
      <c r="BI418" s="39"/>
      <c r="BJ418" s="39"/>
      <c r="BK418" s="39"/>
      <c r="BQ418" s="39"/>
      <c r="BR418" s="39"/>
      <c r="BS418" s="39"/>
      <c r="BY418" s="39"/>
      <c r="BZ418" s="39"/>
      <c r="CA418" s="39"/>
      <c r="CG418" s="39"/>
      <c r="CH418" s="39"/>
      <c r="CI418" s="39"/>
    </row>
    <row r="419" spans="2:87" ht="15.75" customHeight="1">
      <c r="B419" s="2"/>
      <c r="C419" s="10"/>
      <c r="F419" s="39"/>
      <c r="G419" s="39"/>
      <c r="H419" s="39"/>
      <c r="I419" s="39"/>
      <c r="M419" s="39"/>
      <c r="N419" s="39"/>
      <c r="O419" s="39"/>
      <c r="U419" s="39"/>
      <c r="V419" s="39"/>
      <c r="W419" s="39"/>
      <c r="AC419" s="39"/>
      <c r="AD419" s="39"/>
      <c r="AE419" s="39"/>
      <c r="AK419" s="39"/>
      <c r="AL419" s="39"/>
      <c r="AM419" s="39"/>
      <c r="AS419" s="39"/>
      <c r="AT419" s="39"/>
      <c r="AU419" s="39"/>
      <c r="AZ419" s="40"/>
      <c r="BA419" s="39"/>
      <c r="BB419" s="39"/>
      <c r="BC419" s="39"/>
      <c r="BI419" s="39"/>
      <c r="BJ419" s="39"/>
      <c r="BK419" s="39"/>
      <c r="BQ419" s="39"/>
      <c r="BR419" s="39"/>
      <c r="BS419" s="39"/>
      <c r="BY419" s="39"/>
      <c r="BZ419" s="39"/>
      <c r="CA419" s="39"/>
      <c r="CG419" s="39"/>
      <c r="CH419" s="39"/>
      <c r="CI419" s="39"/>
    </row>
    <row r="420" spans="2:87" ht="15.75" customHeight="1">
      <c r="B420" s="2"/>
      <c r="C420" s="10"/>
      <c r="F420" s="39"/>
      <c r="G420" s="39"/>
      <c r="H420" s="39"/>
      <c r="I420" s="39"/>
      <c r="M420" s="39"/>
      <c r="N420" s="39"/>
      <c r="O420" s="39"/>
      <c r="U420" s="39"/>
      <c r="V420" s="39"/>
      <c r="W420" s="39"/>
      <c r="AC420" s="39"/>
      <c r="AD420" s="39"/>
      <c r="AE420" s="39"/>
      <c r="AK420" s="39"/>
      <c r="AL420" s="39"/>
      <c r="AM420" s="39"/>
      <c r="AS420" s="39"/>
      <c r="AT420" s="39"/>
      <c r="AU420" s="39"/>
      <c r="AZ420" s="40"/>
      <c r="BA420" s="39"/>
      <c r="BB420" s="39"/>
      <c r="BC420" s="39"/>
      <c r="BI420" s="39"/>
      <c r="BJ420" s="39"/>
      <c r="BK420" s="39"/>
      <c r="BQ420" s="39"/>
      <c r="BR420" s="39"/>
      <c r="BS420" s="39"/>
      <c r="BY420" s="39"/>
      <c r="BZ420" s="39"/>
      <c r="CA420" s="39"/>
      <c r="CG420" s="39"/>
      <c r="CH420" s="39"/>
      <c r="CI420" s="39"/>
    </row>
    <row r="421" spans="2:87" ht="15.75" customHeight="1">
      <c r="B421" s="2"/>
      <c r="C421" s="10"/>
      <c r="F421" s="39"/>
      <c r="G421" s="39"/>
      <c r="H421" s="39"/>
      <c r="I421" s="39"/>
      <c r="M421" s="39"/>
      <c r="N421" s="39"/>
      <c r="O421" s="39"/>
      <c r="U421" s="39"/>
      <c r="V421" s="39"/>
      <c r="W421" s="39"/>
      <c r="AC421" s="39"/>
      <c r="AD421" s="39"/>
      <c r="AE421" s="39"/>
      <c r="AK421" s="39"/>
      <c r="AL421" s="39"/>
      <c r="AM421" s="39"/>
      <c r="AS421" s="39"/>
      <c r="AT421" s="39"/>
      <c r="AU421" s="39"/>
      <c r="AZ421" s="40"/>
      <c r="BA421" s="39"/>
      <c r="BB421" s="39"/>
      <c r="BC421" s="39"/>
      <c r="BI421" s="39"/>
      <c r="BJ421" s="39"/>
      <c r="BK421" s="39"/>
      <c r="BQ421" s="39"/>
      <c r="BR421" s="39"/>
      <c r="BS421" s="39"/>
      <c r="BY421" s="39"/>
      <c r="BZ421" s="39"/>
      <c r="CA421" s="39"/>
      <c r="CG421" s="39"/>
      <c r="CH421" s="39"/>
      <c r="CI421" s="39"/>
    </row>
    <row r="422" spans="2:87" ht="15.75" customHeight="1">
      <c r="B422" s="2"/>
      <c r="C422" s="10"/>
      <c r="F422" s="39"/>
      <c r="G422" s="39"/>
      <c r="H422" s="39"/>
      <c r="I422" s="39"/>
      <c r="M422" s="39"/>
      <c r="N422" s="39"/>
      <c r="O422" s="39"/>
      <c r="U422" s="39"/>
      <c r="V422" s="39"/>
      <c r="W422" s="39"/>
      <c r="AC422" s="39"/>
      <c r="AD422" s="39"/>
      <c r="AE422" s="39"/>
      <c r="AK422" s="39"/>
      <c r="AL422" s="39"/>
      <c r="AM422" s="39"/>
      <c r="AS422" s="39"/>
      <c r="AT422" s="39"/>
      <c r="AU422" s="39"/>
      <c r="AZ422" s="40"/>
      <c r="BA422" s="39"/>
      <c r="BB422" s="39"/>
      <c r="BC422" s="39"/>
      <c r="BI422" s="39"/>
      <c r="BJ422" s="39"/>
      <c r="BK422" s="39"/>
      <c r="BQ422" s="39"/>
      <c r="BR422" s="39"/>
      <c r="BS422" s="39"/>
      <c r="BY422" s="39"/>
      <c r="BZ422" s="39"/>
      <c r="CA422" s="39"/>
      <c r="CG422" s="39"/>
      <c r="CH422" s="39"/>
      <c r="CI422" s="39"/>
    </row>
    <row r="423" spans="2:87" ht="15.75" customHeight="1">
      <c r="B423" s="2"/>
      <c r="C423" s="10"/>
      <c r="F423" s="39"/>
      <c r="G423" s="39"/>
      <c r="H423" s="39"/>
      <c r="I423" s="39"/>
      <c r="M423" s="39"/>
      <c r="N423" s="39"/>
      <c r="O423" s="39"/>
      <c r="U423" s="39"/>
      <c r="V423" s="39"/>
      <c r="W423" s="39"/>
      <c r="AC423" s="39"/>
      <c r="AD423" s="39"/>
      <c r="AE423" s="39"/>
      <c r="AK423" s="39"/>
      <c r="AL423" s="39"/>
      <c r="AM423" s="39"/>
      <c r="AS423" s="39"/>
      <c r="AT423" s="39"/>
      <c r="AU423" s="39"/>
      <c r="AZ423" s="40"/>
      <c r="BA423" s="39"/>
      <c r="BB423" s="39"/>
      <c r="BC423" s="39"/>
      <c r="BI423" s="39"/>
      <c r="BJ423" s="39"/>
      <c r="BK423" s="39"/>
      <c r="BQ423" s="39"/>
      <c r="BR423" s="39"/>
      <c r="BS423" s="39"/>
      <c r="BY423" s="39"/>
      <c r="BZ423" s="39"/>
      <c r="CA423" s="39"/>
      <c r="CG423" s="39"/>
      <c r="CH423" s="39"/>
      <c r="CI423" s="39"/>
    </row>
    <row r="424" spans="2:87" ht="15.75" customHeight="1">
      <c r="B424" s="2"/>
      <c r="C424" s="10"/>
      <c r="F424" s="39"/>
      <c r="G424" s="39"/>
      <c r="H424" s="39"/>
      <c r="I424" s="39"/>
      <c r="M424" s="39"/>
      <c r="N424" s="39"/>
      <c r="O424" s="39"/>
      <c r="U424" s="39"/>
      <c r="V424" s="39"/>
      <c r="W424" s="39"/>
      <c r="AC424" s="39"/>
      <c r="AD424" s="39"/>
      <c r="AE424" s="39"/>
      <c r="AK424" s="39"/>
      <c r="AL424" s="39"/>
      <c r="AM424" s="39"/>
      <c r="AS424" s="39"/>
      <c r="AT424" s="39"/>
      <c r="AU424" s="39"/>
      <c r="AZ424" s="40"/>
      <c r="BA424" s="39"/>
      <c r="BB424" s="39"/>
      <c r="BC424" s="39"/>
      <c r="BI424" s="39"/>
      <c r="BJ424" s="39"/>
      <c r="BK424" s="39"/>
      <c r="BQ424" s="39"/>
      <c r="BR424" s="39"/>
      <c r="BS424" s="39"/>
      <c r="BY424" s="39"/>
      <c r="BZ424" s="39"/>
      <c r="CA424" s="39"/>
      <c r="CG424" s="39"/>
      <c r="CH424" s="39"/>
      <c r="CI424" s="39"/>
    </row>
    <row r="425" spans="2:87" ht="15.75" customHeight="1">
      <c r="B425" s="2"/>
      <c r="C425" s="10"/>
      <c r="F425" s="39"/>
      <c r="G425" s="39"/>
      <c r="H425" s="39"/>
      <c r="I425" s="39"/>
      <c r="M425" s="39"/>
      <c r="N425" s="39"/>
      <c r="O425" s="39"/>
      <c r="U425" s="39"/>
      <c r="V425" s="39"/>
      <c r="W425" s="39"/>
      <c r="AC425" s="39"/>
      <c r="AD425" s="39"/>
      <c r="AE425" s="39"/>
      <c r="AK425" s="39"/>
      <c r="AL425" s="39"/>
      <c r="AM425" s="39"/>
      <c r="AS425" s="39"/>
      <c r="AT425" s="39"/>
      <c r="AU425" s="39"/>
      <c r="AZ425" s="40"/>
      <c r="BA425" s="39"/>
      <c r="BB425" s="39"/>
      <c r="BC425" s="39"/>
      <c r="BI425" s="39"/>
      <c r="BJ425" s="39"/>
      <c r="BK425" s="39"/>
      <c r="BQ425" s="39"/>
      <c r="BR425" s="39"/>
      <c r="BS425" s="39"/>
      <c r="BY425" s="39"/>
      <c r="BZ425" s="39"/>
      <c r="CA425" s="39"/>
      <c r="CG425" s="39"/>
      <c r="CH425" s="39"/>
      <c r="CI425" s="39"/>
    </row>
    <row r="426" spans="2:87" ht="15.75" customHeight="1">
      <c r="B426" s="2"/>
      <c r="C426" s="10"/>
      <c r="F426" s="39"/>
      <c r="G426" s="39"/>
      <c r="H426" s="39"/>
      <c r="I426" s="39"/>
      <c r="M426" s="39"/>
      <c r="N426" s="39"/>
      <c r="O426" s="39"/>
      <c r="U426" s="39"/>
      <c r="V426" s="39"/>
      <c r="W426" s="39"/>
      <c r="AC426" s="39"/>
      <c r="AD426" s="39"/>
      <c r="AE426" s="39"/>
      <c r="AK426" s="39"/>
      <c r="AL426" s="39"/>
      <c r="AM426" s="39"/>
      <c r="AS426" s="39"/>
      <c r="AT426" s="39"/>
      <c r="AU426" s="39"/>
      <c r="AZ426" s="40"/>
      <c r="BA426" s="39"/>
      <c r="BB426" s="39"/>
      <c r="BC426" s="39"/>
      <c r="BI426" s="39"/>
      <c r="BJ426" s="39"/>
      <c r="BK426" s="39"/>
      <c r="BQ426" s="39"/>
      <c r="BR426" s="39"/>
      <c r="BS426" s="39"/>
      <c r="BY426" s="39"/>
      <c r="BZ426" s="39"/>
      <c r="CA426" s="39"/>
      <c r="CG426" s="39"/>
      <c r="CH426" s="39"/>
      <c r="CI426" s="39"/>
    </row>
    <row r="427" spans="2:87" ht="15.75" customHeight="1">
      <c r="B427" s="2"/>
      <c r="C427" s="10"/>
      <c r="F427" s="39"/>
      <c r="G427" s="39"/>
      <c r="H427" s="39"/>
      <c r="I427" s="39"/>
      <c r="M427" s="39"/>
      <c r="N427" s="39"/>
      <c r="O427" s="39"/>
      <c r="U427" s="39"/>
      <c r="V427" s="39"/>
      <c r="W427" s="39"/>
      <c r="AC427" s="39"/>
      <c r="AD427" s="39"/>
      <c r="AE427" s="39"/>
      <c r="AK427" s="39"/>
      <c r="AL427" s="39"/>
      <c r="AM427" s="39"/>
      <c r="AS427" s="39"/>
      <c r="AT427" s="39"/>
      <c r="AU427" s="39"/>
      <c r="AZ427" s="40"/>
      <c r="BA427" s="39"/>
      <c r="BB427" s="39"/>
      <c r="BC427" s="39"/>
      <c r="BI427" s="39"/>
      <c r="BJ427" s="39"/>
      <c r="BK427" s="39"/>
      <c r="BQ427" s="39"/>
      <c r="BR427" s="39"/>
      <c r="BS427" s="39"/>
      <c r="BY427" s="39"/>
      <c r="BZ427" s="39"/>
      <c r="CA427" s="39"/>
      <c r="CG427" s="39"/>
      <c r="CH427" s="39"/>
      <c r="CI427" s="39"/>
    </row>
    <row r="428" spans="2:87" ht="15.75" customHeight="1">
      <c r="B428" s="2"/>
      <c r="C428" s="10"/>
      <c r="F428" s="39"/>
      <c r="G428" s="39"/>
      <c r="H428" s="39"/>
      <c r="I428" s="39"/>
      <c r="M428" s="39"/>
      <c r="N428" s="39"/>
      <c r="O428" s="39"/>
      <c r="U428" s="39"/>
      <c r="V428" s="39"/>
      <c r="W428" s="39"/>
      <c r="AC428" s="39"/>
      <c r="AD428" s="39"/>
      <c r="AE428" s="39"/>
      <c r="AK428" s="39"/>
      <c r="AL428" s="39"/>
      <c r="AM428" s="39"/>
      <c r="AS428" s="39"/>
      <c r="AT428" s="39"/>
      <c r="AU428" s="39"/>
      <c r="AZ428" s="40"/>
      <c r="BA428" s="39"/>
      <c r="BB428" s="39"/>
      <c r="BC428" s="39"/>
      <c r="BI428" s="39"/>
      <c r="BJ428" s="39"/>
      <c r="BK428" s="39"/>
      <c r="BQ428" s="39"/>
      <c r="BR428" s="39"/>
      <c r="BS428" s="39"/>
      <c r="BY428" s="39"/>
      <c r="BZ428" s="39"/>
      <c r="CA428" s="39"/>
      <c r="CG428" s="39"/>
      <c r="CH428" s="39"/>
      <c r="CI428" s="39"/>
    </row>
    <row r="429" spans="2:87" ht="15.75" customHeight="1">
      <c r="B429" s="2"/>
      <c r="C429" s="10"/>
      <c r="F429" s="39"/>
      <c r="G429" s="39"/>
      <c r="H429" s="39"/>
      <c r="I429" s="39"/>
      <c r="M429" s="39"/>
      <c r="N429" s="39"/>
      <c r="O429" s="39"/>
      <c r="U429" s="39"/>
      <c r="V429" s="39"/>
      <c r="W429" s="39"/>
      <c r="AC429" s="39"/>
      <c r="AD429" s="39"/>
      <c r="AE429" s="39"/>
      <c r="AK429" s="39"/>
      <c r="AL429" s="39"/>
      <c r="AM429" s="39"/>
      <c r="AS429" s="39"/>
      <c r="AT429" s="39"/>
      <c r="AU429" s="39"/>
      <c r="AZ429" s="40"/>
      <c r="BA429" s="39"/>
      <c r="BB429" s="39"/>
      <c r="BC429" s="39"/>
      <c r="BI429" s="39"/>
      <c r="BJ429" s="39"/>
      <c r="BK429" s="39"/>
      <c r="BQ429" s="39"/>
      <c r="BR429" s="39"/>
      <c r="BS429" s="39"/>
      <c r="BY429" s="39"/>
      <c r="BZ429" s="39"/>
      <c r="CA429" s="39"/>
      <c r="CG429" s="39"/>
      <c r="CH429" s="39"/>
      <c r="CI429" s="39"/>
    </row>
    <row r="430" spans="2:87" ht="15.75" customHeight="1">
      <c r="B430" s="2"/>
      <c r="C430" s="10"/>
      <c r="F430" s="39"/>
      <c r="G430" s="39"/>
      <c r="H430" s="39"/>
      <c r="I430" s="39"/>
      <c r="M430" s="39"/>
      <c r="N430" s="39"/>
      <c r="O430" s="39"/>
      <c r="U430" s="39"/>
      <c r="V430" s="39"/>
      <c r="W430" s="39"/>
      <c r="AC430" s="39"/>
      <c r="AD430" s="39"/>
      <c r="AE430" s="39"/>
      <c r="AK430" s="39"/>
      <c r="AL430" s="39"/>
      <c r="AM430" s="39"/>
      <c r="AS430" s="39"/>
      <c r="AT430" s="39"/>
      <c r="AU430" s="39"/>
      <c r="AZ430" s="40"/>
      <c r="BA430" s="39"/>
      <c r="BB430" s="39"/>
      <c r="BC430" s="39"/>
      <c r="BI430" s="39"/>
      <c r="BJ430" s="39"/>
      <c r="BK430" s="39"/>
      <c r="BQ430" s="39"/>
      <c r="BR430" s="39"/>
      <c r="BS430" s="39"/>
      <c r="BY430" s="39"/>
      <c r="BZ430" s="39"/>
      <c r="CA430" s="39"/>
      <c r="CG430" s="39"/>
      <c r="CH430" s="39"/>
      <c r="CI430" s="39"/>
    </row>
    <row r="431" spans="2:87" ht="15.75" customHeight="1">
      <c r="B431" s="2"/>
      <c r="C431" s="10"/>
      <c r="F431" s="39"/>
      <c r="G431" s="39"/>
      <c r="H431" s="39"/>
      <c r="I431" s="39"/>
      <c r="M431" s="39"/>
      <c r="N431" s="39"/>
      <c r="O431" s="39"/>
      <c r="U431" s="39"/>
      <c r="V431" s="39"/>
      <c r="W431" s="39"/>
      <c r="AC431" s="39"/>
      <c r="AD431" s="39"/>
      <c r="AE431" s="39"/>
      <c r="AK431" s="39"/>
      <c r="AL431" s="39"/>
      <c r="AM431" s="39"/>
      <c r="AS431" s="39"/>
      <c r="AT431" s="39"/>
      <c r="AU431" s="39"/>
      <c r="AZ431" s="40"/>
      <c r="BA431" s="39"/>
      <c r="BB431" s="39"/>
      <c r="BC431" s="39"/>
      <c r="BI431" s="39"/>
      <c r="BJ431" s="39"/>
      <c r="BK431" s="39"/>
      <c r="BQ431" s="39"/>
      <c r="BR431" s="39"/>
      <c r="BS431" s="39"/>
      <c r="BY431" s="39"/>
      <c r="BZ431" s="39"/>
      <c r="CA431" s="39"/>
      <c r="CG431" s="39"/>
      <c r="CH431" s="39"/>
      <c r="CI431" s="39"/>
    </row>
    <row r="432" spans="2:87" ht="15.75" customHeight="1">
      <c r="B432" s="2"/>
      <c r="C432" s="10"/>
      <c r="F432" s="39"/>
      <c r="G432" s="39"/>
      <c r="H432" s="39"/>
      <c r="I432" s="39"/>
      <c r="M432" s="39"/>
      <c r="N432" s="39"/>
      <c r="O432" s="39"/>
      <c r="U432" s="39"/>
      <c r="V432" s="39"/>
      <c r="W432" s="39"/>
      <c r="AC432" s="39"/>
      <c r="AD432" s="39"/>
      <c r="AE432" s="39"/>
      <c r="AK432" s="39"/>
      <c r="AL432" s="39"/>
      <c r="AM432" s="39"/>
      <c r="AS432" s="39"/>
      <c r="AT432" s="39"/>
      <c r="AU432" s="39"/>
      <c r="AZ432" s="40"/>
      <c r="BA432" s="39"/>
      <c r="BB432" s="39"/>
      <c r="BC432" s="39"/>
      <c r="BI432" s="39"/>
      <c r="BJ432" s="39"/>
      <c r="BK432" s="39"/>
      <c r="BQ432" s="39"/>
      <c r="BR432" s="39"/>
      <c r="BS432" s="39"/>
      <c r="BY432" s="39"/>
      <c r="BZ432" s="39"/>
      <c r="CA432" s="39"/>
      <c r="CG432" s="39"/>
      <c r="CH432" s="39"/>
      <c r="CI432" s="39"/>
    </row>
    <row r="433" spans="2:87" ht="15.75" customHeight="1">
      <c r="B433" s="2"/>
      <c r="C433" s="10"/>
      <c r="F433" s="39"/>
      <c r="G433" s="39"/>
      <c r="H433" s="39"/>
      <c r="I433" s="39"/>
      <c r="M433" s="39"/>
      <c r="N433" s="39"/>
      <c r="O433" s="39"/>
      <c r="U433" s="39"/>
      <c r="V433" s="39"/>
      <c r="W433" s="39"/>
      <c r="AC433" s="39"/>
      <c r="AD433" s="39"/>
      <c r="AE433" s="39"/>
      <c r="AK433" s="39"/>
      <c r="AL433" s="39"/>
      <c r="AM433" s="39"/>
      <c r="AS433" s="39"/>
      <c r="AT433" s="39"/>
      <c r="AU433" s="39"/>
      <c r="AZ433" s="40"/>
      <c r="BA433" s="39"/>
      <c r="BB433" s="39"/>
      <c r="BC433" s="39"/>
      <c r="BI433" s="39"/>
      <c r="BJ433" s="39"/>
      <c r="BK433" s="39"/>
      <c r="BQ433" s="39"/>
      <c r="BR433" s="39"/>
      <c r="BS433" s="39"/>
      <c r="BY433" s="39"/>
      <c r="BZ433" s="39"/>
      <c r="CA433" s="39"/>
      <c r="CG433" s="39"/>
      <c r="CH433" s="39"/>
      <c r="CI433" s="39"/>
    </row>
    <row r="434" spans="2:87" ht="15.75" customHeight="1">
      <c r="B434" s="2"/>
      <c r="C434" s="10"/>
      <c r="F434" s="39"/>
      <c r="G434" s="39"/>
      <c r="H434" s="39"/>
      <c r="I434" s="39"/>
      <c r="M434" s="39"/>
      <c r="N434" s="39"/>
      <c r="O434" s="39"/>
      <c r="U434" s="39"/>
      <c r="V434" s="39"/>
      <c r="W434" s="39"/>
      <c r="AC434" s="39"/>
      <c r="AD434" s="39"/>
      <c r="AE434" s="39"/>
      <c r="AK434" s="39"/>
      <c r="AL434" s="39"/>
      <c r="AM434" s="39"/>
      <c r="AS434" s="39"/>
      <c r="AT434" s="39"/>
      <c r="AU434" s="39"/>
      <c r="AZ434" s="40"/>
      <c r="BA434" s="39"/>
      <c r="BB434" s="39"/>
      <c r="BC434" s="39"/>
      <c r="BI434" s="39"/>
      <c r="BJ434" s="39"/>
      <c r="BK434" s="39"/>
      <c r="BQ434" s="39"/>
      <c r="BR434" s="39"/>
      <c r="BS434" s="39"/>
      <c r="BY434" s="39"/>
      <c r="BZ434" s="39"/>
      <c r="CA434" s="39"/>
      <c r="CG434" s="39"/>
      <c r="CH434" s="39"/>
      <c r="CI434" s="39"/>
    </row>
    <row r="435" spans="2:87" ht="15.75" customHeight="1">
      <c r="B435" s="2"/>
      <c r="C435" s="10"/>
      <c r="F435" s="39"/>
      <c r="G435" s="39"/>
      <c r="H435" s="39"/>
      <c r="I435" s="39"/>
      <c r="M435" s="39"/>
      <c r="N435" s="39"/>
      <c r="O435" s="39"/>
      <c r="U435" s="39"/>
      <c r="V435" s="39"/>
      <c r="W435" s="39"/>
      <c r="AC435" s="39"/>
      <c r="AD435" s="39"/>
      <c r="AE435" s="39"/>
      <c r="AK435" s="39"/>
      <c r="AL435" s="39"/>
      <c r="AM435" s="39"/>
      <c r="AS435" s="39"/>
      <c r="AT435" s="39"/>
      <c r="AU435" s="39"/>
      <c r="AZ435" s="40"/>
      <c r="BA435" s="39"/>
      <c r="BB435" s="39"/>
      <c r="BC435" s="39"/>
      <c r="BI435" s="39"/>
      <c r="BJ435" s="39"/>
      <c r="BK435" s="39"/>
      <c r="BQ435" s="39"/>
      <c r="BR435" s="39"/>
      <c r="BS435" s="39"/>
      <c r="BY435" s="39"/>
      <c r="BZ435" s="39"/>
      <c r="CA435" s="39"/>
      <c r="CG435" s="39"/>
      <c r="CH435" s="39"/>
      <c r="CI435" s="39"/>
    </row>
    <row r="436" spans="2:87" ht="15.75" customHeight="1">
      <c r="B436" s="2"/>
      <c r="C436" s="10"/>
      <c r="F436" s="39"/>
      <c r="G436" s="39"/>
      <c r="H436" s="39"/>
      <c r="I436" s="39"/>
      <c r="M436" s="39"/>
      <c r="N436" s="39"/>
      <c r="O436" s="39"/>
      <c r="U436" s="39"/>
      <c r="V436" s="39"/>
      <c r="W436" s="39"/>
      <c r="AC436" s="39"/>
      <c r="AD436" s="39"/>
      <c r="AE436" s="39"/>
      <c r="AK436" s="39"/>
      <c r="AL436" s="39"/>
      <c r="AM436" s="39"/>
      <c r="AS436" s="39"/>
      <c r="AT436" s="39"/>
      <c r="AU436" s="39"/>
      <c r="AZ436" s="40"/>
      <c r="BA436" s="39"/>
      <c r="BB436" s="39"/>
      <c r="BC436" s="39"/>
      <c r="BI436" s="39"/>
      <c r="BJ436" s="39"/>
      <c r="BK436" s="39"/>
      <c r="BQ436" s="39"/>
      <c r="BR436" s="39"/>
      <c r="BS436" s="39"/>
      <c r="BY436" s="39"/>
      <c r="BZ436" s="39"/>
      <c r="CA436" s="39"/>
      <c r="CG436" s="39"/>
      <c r="CH436" s="39"/>
      <c r="CI436" s="39"/>
    </row>
    <row r="437" spans="2:87" ht="15.75" customHeight="1">
      <c r="B437" s="2"/>
      <c r="C437" s="10"/>
      <c r="F437" s="39"/>
      <c r="G437" s="39"/>
      <c r="H437" s="39"/>
      <c r="I437" s="39"/>
      <c r="M437" s="39"/>
      <c r="N437" s="39"/>
      <c r="O437" s="39"/>
      <c r="U437" s="39"/>
      <c r="V437" s="39"/>
      <c r="W437" s="39"/>
      <c r="AC437" s="39"/>
      <c r="AD437" s="39"/>
      <c r="AE437" s="39"/>
      <c r="AK437" s="39"/>
      <c r="AL437" s="39"/>
      <c r="AM437" s="39"/>
      <c r="AS437" s="39"/>
      <c r="AT437" s="39"/>
      <c r="AU437" s="39"/>
      <c r="AZ437" s="40"/>
      <c r="BA437" s="39"/>
      <c r="BB437" s="39"/>
      <c r="BC437" s="39"/>
      <c r="BI437" s="39"/>
      <c r="BJ437" s="39"/>
      <c r="BK437" s="39"/>
      <c r="BQ437" s="39"/>
      <c r="BR437" s="39"/>
      <c r="BS437" s="39"/>
      <c r="BY437" s="39"/>
      <c r="BZ437" s="39"/>
      <c r="CA437" s="39"/>
      <c r="CG437" s="39"/>
      <c r="CH437" s="39"/>
      <c r="CI437" s="39"/>
    </row>
    <row r="438" spans="2:87" ht="15.75" customHeight="1">
      <c r="B438" s="2"/>
      <c r="C438" s="10"/>
      <c r="F438" s="39"/>
      <c r="G438" s="39"/>
      <c r="H438" s="39"/>
      <c r="I438" s="39"/>
      <c r="M438" s="39"/>
      <c r="N438" s="39"/>
      <c r="O438" s="39"/>
      <c r="U438" s="39"/>
      <c r="V438" s="39"/>
      <c r="W438" s="39"/>
      <c r="AC438" s="39"/>
      <c r="AD438" s="39"/>
      <c r="AE438" s="39"/>
      <c r="AK438" s="39"/>
      <c r="AL438" s="39"/>
      <c r="AM438" s="39"/>
      <c r="AS438" s="39"/>
      <c r="AT438" s="39"/>
      <c r="AU438" s="39"/>
      <c r="AZ438" s="40"/>
      <c r="BA438" s="39"/>
      <c r="BB438" s="39"/>
      <c r="BC438" s="39"/>
      <c r="BI438" s="39"/>
      <c r="BJ438" s="39"/>
      <c r="BK438" s="39"/>
      <c r="BQ438" s="39"/>
      <c r="BR438" s="39"/>
      <c r="BS438" s="39"/>
      <c r="BY438" s="39"/>
      <c r="BZ438" s="39"/>
      <c r="CA438" s="39"/>
      <c r="CG438" s="39"/>
      <c r="CH438" s="39"/>
      <c r="CI438" s="39"/>
    </row>
    <row r="439" spans="2:87" ht="15.75" customHeight="1">
      <c r="B439" s="2"/>
      <c r="C439" s="10"/>
      <c r="F439" s="39"/>
      <c r="G439" s="39"/>
      <c r="H439" s="39"/>
      <c r="I439" s="39"/>
      <c r="M439" s="39"/>
      <c r="N439" s="39"/>
      <c r="O439" s="39"/>
      <c r="U439" s="39"/>
      <c r="V439" s="39"/>
      <c r="W439" s="39"/>
      <c r="AC439" s="39"/>
      <c r="AD439" s="39"/>
      <c r="AE439" s="39"/>
      <c r="AK439" s="39"/>
      <c r="AL439" s="39"/>
      <c r="AM439" s="39"/>
      <c r="AS439" s="39"/>
      <c r="AT439" s="39"/>
      <c r="AU439" s="39"/>
      <c r="AZ439" s="40"/>
      <c r="BA439" s="39"/>
      <c r="BB439" s="39"/>
      <c r="BC439" s="39"/>
      <c r="BI439" s="39"/>
      <c r="BJ439" s="39"/>
      <c r="BK439" s="39"/>
      <c r="BQ439" s="39"/>
      <c r="BR439" s="39"/>
      <c r="BS439" s="39"/>
      <c r="BY439" s="39"/>
      <c r="BZ439" s="39"/>
      <c r="CA439" s="39"/>
      <c r="CG439" s="39"/>
      <c r="CH439" s="39"/>
      <c r="CI439" s="39"/>
    </row>
    <row r="440" spans="2:87" ht="15.75" customHeight="1">
      <c r="B440" s="2"/>
      <c r="C440" s="10"/>
      <c r="F440" s="39"/>
      <c r="G440" s="39"/>
      <c r="H440" s="39"/>
      <c r="I440" s="39"/>
      <c r="M440" s="39"/>
      <c r="N440" s="39"/>
      <c r="O440" s="39"/>
      <c r="U440" s="39"/>
      <c r="V440" s="39"/>
      <c r="W440" s="39"/>
      <c r="AC440" s="39"/>
      <c r="AD440" s="39"/>
      <c r="AE440" s="39"/>
      <c r="AK440" s="39"/>
      <c r="AL440" s="39"/>
      <c r="AM440" s="39"/>
      <c r="AS440" s="39"/>
      <c r="AT440" s="39"/>
      <c r="AU440" s="39"/>
      <c r="AZ440" s="40"/>
      <c r="BA440" s="39"/>
      <c r="BB440" s="39"/>
      <c r="BC440" s="39"/>
      <c r="BI440" s="39"/>
      <c r="BJ440" s="39"/>
      <c r="BK440" s="39"/>
      <c r="BQ440" s="39"/>
      <c r="BR440" s="39"/>
      <c r="BS440" s="39"/>
      <c r="BY440" s="39"/>
      <c r="BZ440" s="39"/>
      <c r="CA440" s="39"/>
      <c r="CG440" s="39"/>
      <c r="CH440" s="39"/>
      <c r="CI440" s="39"/>
    </row>
    <row r="441" spans="2:87" ht="15.75" customHeight="1">
      <c r="B441" s="2"/>
      <c r="C441" s="10"/>
      <c r="F441" s="39"/>
      <c r="G441" s="39"/>
      <c r="H441" s="39"/>
      <c r="I441" s="39"/>
      <c r="M441" s="39"/>
      <c r="N441" s="39"/>
      <c r="O441" s="39"/>
      <c r="U441" s="39"/>
      <c r="V441" s="39"/>
      <c r="W441" s="39"/>
      <c r="AC441" s="39"/>
      <c r="AD441" s="39"/>
      <c r="AE441" s="39"/>
      <c r="AK441" s="39"/>
      <c r="AL441" s="39"/>
      <c r="AM441" s="39"/>
      <c r="AS441" s="39"/>
      <c r="AT441" s="39"/>
      <c r="AU441" s="39"/>
      <c r="AZ441" s="40"/>
      <c r="BA441" s="39"/>
      <c r="BB441" s="39"/>
      <c r="BC441" s="39"/>
      <c r="BI441" s="39"/>
      <c r="BJ441" s="39"/>
      <c r="BK441" s="39"/>
      <c r="BQ441" s="39"/>
      <c r="BR441" s="39"/>
      <c r="BS441" s="39"/>
      <c r="BY441" s="39"/>
      <c r="BZ441" s="39"/>
      <c r="CA441" s="39"/>
      <c r="CG441" s="39"/>
      <c r="CH441" s="39"/>
      <c r="CI441" s="39"/>
    </row>
    <row r="442" spans="2:87" ht="15.75" customHeight="1">
      <c r="B442" s="2"/>
      <c r="C442" s="10"/>
      <c r="F442" s="39"/>
      <c r="G442" s="39"/>
      <c r="H442" s="39"/>
      <c r="I442" s="39"/>
      <c r="M442" s="39"/>
      <c r="N442" s="39"/>
      <c r="O442" s="39"/>
      <c r="U442" s="39"/>
      <c r="V442" s="39"/>
      <c r="W442" s="39"/>
      <c r="AC442" s="39"/>
      <c r="AD442" s="39"/>
      <c r="AE442" s="39"/>
      <c r="AK442" s="39"/>
      <c r="AL442" s="39"/>
      <c r="AM442" s="39"/>
      <c r="AS442" s="39"/>
      <c r="AT442" s="39"/>
      <c r="AU442" s="39"/>
      <c r="AZ442" s="40"/>
      <c r="BA442" s="39"/>
      <c r="BB442" s="39"/>
      <c r="BC442" s="39"/>
      <c r="BI442" s="39"/>
      <c r="BJ442" s="39"/>
      <c r="BK442" s="39"/>
      <c r="BQ442" s="39"/>
      <c r="BR442" s="39"/>
      <c r="BS442" s="39"/>
      <c r="BY442" s="39"/>
      <c r="BZ442" s="39"/>
      <c r="CA442" s="39"/>
      <c r="CG442" s="39"/>
      <c r="CH442" s="39"/>
      <c r="CI442" s="39"/>
    </row>
    <row r="443" spans="2:87" ht="15.75" customHeight="1">
      <c r="B443" s="2"/>
      <c r="C443" s="10"/>
      <c r="F443" s="39"/>
      <c r="G443" s="39"/>
      <c r="H443" s="39"/>
      <c r="I443" s="39"/>
      <c r="M443" s="39"/>
      <c r="N443" s="39"/>
      <c r="O443" s="39"/>
      <c r="U443" s="39"/>
      <c r="V443" s="39"/>
      <c r="W443" s="39"/>
      <c r="AC443" s="39"/>
      <c r="AD443" s="39"/>
      <c r="AE443" s="39"/>
      <c r="AK443" s="39"/>
      <c r="AL443" s="39"/>
      <c r="AM443" s="39"/>
      <c r="AS443" s="39"/>
      <c r="AT443" s="39"/>
      <c r="AU443" s="39"/>
      <c r="AZ443" s="40"/>
      <c r="BA443" s="39"/>
      <c r="BB443" s="39"/>
      <c r="BC443" s="39"/>
      <c r="BI443" s="39"/>
      <c r="BJ443" s="39"/>
      <c r="BK443" s="39"/>
      <c r="BQ443" s="39"/>
      <c r="BR443" s="39"/>
      <c r="BS443" s="39"/>
      <c r="BY443" s="39"/>
      <c r="BZ443" s="39"/>
      <c r="CA443" s="39"/>
      <c r="CG443" s="39"/>
      <c r="CH443" s="39"/>
      <c r="CI443" s="39"/>
    </row>
    <row r="444" spans="2:87" ht="15.75" customHeight="1">
      <c r="B444" s="2"/>
      <c r="C444" s="10"/>
      <c r="F444" s="39"/>
      <c r="G444" s="39"/>
      <c r="H444" s="39"/>
      <c r="I444" s="39"/>
      <c r="M444" s="39"/>
      <c r="N444" s="39"/>
      <c r="O444" s="39"/>
      <c r="U444" s="39"/>
      <c r="V444" s="39"/>
      <c r="W444" s="39"/>
      <c r="AC444" s="39"/>
      <c r="AD444" s="39"/>
      <c r="AE444" s="39"/>
      <c r="AK444" s="39"/>
      <c r="AL444" s="39"/>
      <c r="AM444" s="39"/>
      <c r="AS444" s="39"/>
      <c r="AT444" s="39"/>
      <c r="AU444" s="39"/>
      <c r="AZ444" s="40"/>
      <c r="BA444" s="39"/>
      <c r="BB444" s="39"/>
      <c r="BC444" s="39"/>
      <c r="BI444" s="39"/>
      <c r="BJ444" s="39"/>
      <c r="BK444" s="39"/>
      <c r="BQ444" s="39"/>
      <c r="BR444" s="39"/>
      <c r="BS444" s="39"/>
      <c r="BY444" s="39"/>
      <c r="BZ444" s="39"/>
      <c r="CA444" s="39"/>
      <c r="CG444" s="39"/>
      <c r="CH444" s="39"/>
      <c r="CI444" s="39"/>
    </row>
    <row r="445" spans="2:87" ht="15.75" customHeight="1">
      <c r="B445" s="2"/>
      <c r="C445" s="10"/>
      <c r="F445" s="39"/>
      <c r="G445" s="39"/>
      <c r="H445" s="39"/>
      <c r="I445" s="39"/>
      <c r="M445" s="39"/>
      <c r="N445" s="39"/>
      <c r="O445" s="39"/>
      <c r="U445" s="39"/>
      <c r="V445" s="39"/>
      <c r="W445" s="39"/>
      <c r="AC445" s="39"/>
      <c r="AD445" s="39"/>
      <c r="AE445" s="39"/>
      <c r="AK445" s="39"/>
      <c r="AL445" s="39"/>
      <c r="AM445" s="39"/>
      <c r="AS445" s="39"/>
      <c r="AT445" s="39"/>
      <c r="AU445" s="39"/>
      <c r="AZ445" s="40"/>
      <c r="BA445" s="39"/>
      <c r="BB445" s="39"/>
      <c r="BC445" s="39"/>
      <c r="BI445" s="39"/>
      <c r="BJ445" s="39"/>
      <c r="BK445" s="39"/>
      <c r="BQ445" s="39"/>
      <c r="BR445" s="39"/>
      <c r="BS445" s="39"/>
      <c r="BY445" s="39"/>
      <c r="BZ445" s="39"/>
      <c r="CA445" s="39"/>
      <c r="CG445" s="39"/>
      <c r="CH445" s="39"/>
      <c r="CI445" s="39"/>
    </row>
    <row r="446" spans="2:87" ht="15.75" customHeight="1">
      <c r="B446" s="2"/>
      <c r="C446" s="10"/>
      <c r="F446" s="39"/>
      <c r="G446" s="39"/>
      <c r="H446" s="39"/>
      <c r="I446" s="39"/>
      <c r="M446" s="39"/>
      <c r="N446" s="39"/>
      <c r="O446" s="39"/>
      <c r="U446" s="39"/>
      <c r="V446" s="39"/>
      <c r="W446" s="39"/>
      <c r="AC446" s="39"/>
      <c r="AD446" s="39"/>
      <c r="AE446" s="39"/>
      <c r="AK446" s="39"/>
      <c r="AL446" s="39"/>
      <c r="AM446" s="39"/>
      <c r="AS446" s="39"/>
      <c r="AT446" s="39"/>
      <c r="AU446" s="39"/>
      <c r="AZ446" s="40"/>
      <c r="BA446" s="39"/>
      <c r="BB446" s="39"/>
      <c r="BC446" s="39"/>
      <c r="BI446" s="39"/>
      <c r="BJ446" s="39"/>
      <c r="BK446" s="39"/>
      <c r="BQ446" s="39"/>
      <c r="BR446" s="39"/>
      <c r="BS446" s="39"/>
      <c r="BY446" s="39"/>
      <c r="BZ446" s="39"/>
      <c r="CA446" s="39"/>
      <c r="CG446" s="39"/>
      <c r="CH446" s="39"/>
      <c r="CI446" s="39"/>
    </row>
    <row r="447" spans="2:87" ht="15.75" customHeight="1">
      <c r="B447" s="2"/>
      <c r="C447" s="10"/>
      <c r="F447" s="39"/>
      <c r="G447" s="39"/>
      <c r="H447" s="39"/>
      <c r="I447" s="39"/>
      <c r="M447" s="39"/>
      <c r="N447" s="39"/>
      <c r="O447" s="39"/>
      <c r="U447" s="39"/>
      <c r="V447" s="39"/>
      <c r="W447" s="39"/>
      <c r="AC447" s="39"/>
      <c r="AD447" s="39"/>
      <c r="AE447" s="39"/>
      <c r="AK447" s="39"/>
      <c r="AL447" s="39"/>
      <c r="AM447" s="39"/>
      <c r="AS447" s="39"/>
      <c r="AT447" s="39"/>
      <c r="AU447" s="39"/>
      <c r="AZ447" s="40"/>
      <c r="BA447" s="39"/>
      <c r="BB447" s="39"/>
      <c r="BC447" s="39"/>
      <c r="BI447" s="39"/>
      <c r="BJ447" s="39"/>
      <c r="BK447" s="39"/>
      <c r="BQ447" s="39"/>
      <c r="BR447" s="39"/>
      <c r="BS447" s="39"/>
      <c r="BY447" s="39"/>
      <c r="BZ447" s="39"/>
      <c r="CA447" s="39"/>
      <c r="CG447" s="39"/>
      <c r="CH447" s="39"/>
      <c r="CI447" s="39"/>
    </row>
    <row r="448" spans="2:87" ht="15.75" customHeight="1">
      <c r="B448" s="2"/>
      <c r="C448" s="10"/>
      <c r="F448" s="39"/>
      <c r="G448" s="39"/>
      <c r="H448" s="39"/>
      <c r="I448" s="39"/>
      <c r="M448" s="39"/>
      <c r="N448" s="39"/>
      <c r="O448" s="39"/>
      <c r="U448" s="39"/>
      <c r="V448" s="39"/>
      <c r="W448" s="39"/>
      <c r="AC448" s="39"/>
      <c r="AD448" s="39"/>
      <c r="AE448" s="39"/>
      <c r="AK448" s="39"/>
      <c r="AL448" s="39"/>
      <c r="AM448" s="39"/>
      <c r="AS448" s="39"/>
      <c r="AT448" s="39"/>
      <c r="AU448" s="39"/>
      <c r="AZ448" s="40"/>
      <c r="BA448" s="39"/>
      <c r="BB448" s="39"/>
      <c r="BC448" s="39"/>
      <c r="BI448" s="39"/>
      <c r="BJ448" s="39"/>
      <c r="BK448" s="39"/>
      <c r="BQ448" s="39"/>
      <c r="BR448" s="39"/>
      <c r="BS448" s="39"/>
      <c r="BY448" s="39"/>
      <c r="BZ448" s="39"/>
      <c r="CA448" s="39"/>
      <c r="CG448" s="39"/>
      <c r="CH448" s="39"/>
      <c r="CI448" s="39"/>
    </row>
    <row r="449" spans="2:87" ht="15.75" customHeight="1">
      <c r="B449" s="2"/>
      <c r="C449" s="10"/>
      <c r="F449" s="39"/>
      <c r="G449" s="39"/>
      <c r="H449" s="39"/>
      <c r="I449" s="39"/>
      <c r="M449" s="39"/>
      <c r="N449" s="39"/>
      <c r="O449" s="39"/>
      <c r="U449" s="39"/>
      <c r="V449" s="39"/>
      <c r="W449" s="39"/>
      <c r="AC449" s="39"/>
      <c r="AD449" s="39"/>
      <c r="AE449" s="39"/>
      <c r="AK449" s="39"/>
      <c r="AL449" s="39"/>
      <c r="AM449" s="39"/>
      <c r="AS449" s="39"/>
      <c r="AT449" s="39"/>
      <c r="AU449" s="39"/>
      <c r="AZ449" s="40"/>
      <c r="BA449" s="39"/>
      <c r="BB449" s="39"/>
      <c r="BC449" s="39"/>
      <c r="BI449" s="39"/>
      <c r="BJ449" s="39"/>
      <c r="BK449" s="39"/>
      <c r="BQ449" s="39"/>
      <c r="BR449" s="39"/>
      <c r="BS449" s="39"/>
      <c r="BY449" s="39"/>
      <c r="BZ449" s="39"/>
      <c r="CA449" s="39"/>
      <c r="CG449" s="39"/>
      <c r="CH449" s="39"/>
      <c r="CI449" s="39"/>
    </row>
    <row r="450" spans="2:87" ht="15.75" customHeight="1">
      <c r="B450" s="2"/>
      <c r="C450" s="10"/>
      <c r="F450" s="39"/>
      <c r="G450" s="39"/>
      <c r="H450" s="39"/>
      <c r="I450" s="39"/>
      <c r="M450" s="39"/>
      <c r="N450" s="39"/>
      <c r="O450" s="39"/>
      <c r="U450" s="39"/>
      <c r="V450" s="39"/>
      <c r="W450" s="39"/>
      <c r="AC450" s="39"/>
      <c r="AD450" s="39"/>
      <c r="AE450" s="39"/>
      <c r="AK450" s="39"/>
      <c r="AL450" s="39"/>
      <c r="AM450" s="39"/>
      <c r="AS450" s="39"/>
      <c r="AT450" s="39"/>
      <c r="AU450" s="39"/>
      <c r="AZ450" s="40"/>
      <c r="BA450" s="39"/>
      <c r="BB450" s="39"/>
      <c r="BC450" s="39"/>
      <c r="BI450" s="39"/>
      <c r="BJ450" s="39"/>
      <c r="BK450" s="39"/>
      <c r="BQ450" s="39"/>
      <c r="BR450" s="39"/>
      <c r="BS450" s="39"/>
      <c r="BY450" s="39"/>
      <c r="BZ450" s="39"/>
      <c r="CA450" s="39"/>
      <c r="CG450" s="39"/>
      <c r="CH450" s="39"/>
      <c r="CI450" s="39"/>
    </row>
    <row r="451" spans="2:87" ht="15.75" customHeight="1">
      <c r="B451" s="2"/>
      <c r="C451" s="10"/>
      <c r="F451" s="39"/>
      <c r="G451" s="39"/>
      <c r="H451" s="39"/>
      <c r="I451" s="39"/>
      <c r="M451" s="39"/>
      <c r="N451" s="39"/>
      <c r="O451" s="39"/>
      <c r="U451" s="39"/>
      <c r="V451" s="39"/>
      <c r="W451" s="39"/>
      <c r="AC451" s="39"/>
      <c r="AD451" s="39"/>
      <c r="AE451" s="39"/>
      <c r="AK451" s="39"/>
      <c r="AL451" s="39"/>
      <c r="AM451" s="39"/>
      <c r="AS451" s="39"/>
      <c r="AT451" s="39"/>
      <c r="AU451" s="39"/>
      <c r="AZ451" s="40"/>
      <c r="BA451" s="39"/>
      <c r="BB451" s="39"/>
      <c r="BC451" s="39"/>
      <c r="BI451" s="39"/>
      <c r="BJ451" s="39"/>
      <c r="BK451" s="39"/>
      <c r="BQ451" s="39"/>
      <c r="BR451" s="39"/>
      <c r="BS451" s="39"/>
      <c r="BY451" s="39"/>
      <c r="BZ451" s="39"/>
      <c r="CA451" s="39"/>
      <c r="CG451" s="39"/>
      <c r="CH451" s="39"/>
      <c r="CI451" s="39"/>
    </row>
    <row r="452" spans="2:87" ht="15.75" customHeight="1">
      <c r="B452" s="2"/>
      <c r="C452" s="10"/>
      <c r="F452" s="39"/>
      <c r="G452" s="39"/>
      <c r="H452" s="39"/>
      <c r="I452" s="39"/>
      <c r="M452" s="39"/>
      <c r="N452" s="39"/>
      <c r="O452" s="39"/>
      <c r="U452" s="39"/>
      <c r="V452" s="39"/>
      <c r="W452" s="39"/>
      <c r="AC452" s="39"/>
      <c r="AD452" s="39"/>
      <c r="AE452" s="39"/>
      <c r="AK452" s="39"/>
      <c r="AL452" s="39"/>
      <c r="AM452" s="39"/>
      <c r="AS452" s="39"/>
      <c r="AT452" s="39"/>
      <c r="AU452" s="39"/>
      <c r="AZ452" s="40"/>
      <c r="BA452" s="39"/>
      <c r="BB452" s="39"/>
      <c r="BC452" s="39"/>
      <c r="BI452" s="39"/>
      <c r="BJ452" s="39"/>
      <c r="BK452" s="39"/>
      <c r="BQ452" s="39"/>
      <c r="BR452" s="39"/>
      <c r="BS452" s="39"/>
      <c r="BY452" s="39"/>
      <c r="BZ452" s="39"/>
      <c r="CA452" s="39"/>
      <c r="CG452" s="39"/>
      <c r="CH452" s="39"/>
      <c r="CI452" s="39"/>
    </row>
    <row r="453" spans="2:87" ht="15.75" customHeight="1">
      <c r="B453" s="2"/>
      <c r="C453" s="10"/>
      <c r="F453" s="39"/>
      <c r="G453" s="39"/>
      <c r="H453" s="39"/>
      <c r="I453" s="39"/>
      <c r="M453" s="39"/>
      <c r="N453" s="39"/>
      <c r="O453" s="39"/>
      <c r="U453" s="39"/>
      <c r="V453" s="39"/>
      <c r="W453" s="39"/>
      <c r="AC453" s="39"/>
      <c r="AD453" s="39"/>
      <c r="AE453" s="39"/>
      <c r="AK453" s="39"/>
      <c r="AL453" s="39"/>
      <c r="AM453" s="39"/>
      <c r="AS453" s="39"/>
      <c r="AT453" s="39"/>
      <c r="AU453" s="39"/>
      <c r="AZ453" s="40"/>
      <c r="BA453" s="39"/>
      <c r="BB453" s="39"/>
      <c r="BC453" s="39"/>
      <c r="BI453" s="39"/>
      <c r="BJ453" s="39"/>
      <c r="BK453" s="39"/>
      <c r="BQ453" s="39"/>
      <c r="BR453" s="39"/>
      <c r="BS453" s="39"/>
      <c r="BY453" s="39"/>
      <c r="BZ453" s="39"/>
      <c r="CA453" s="39"/>
      <c r="CG453" s="39"/>
      <c r="CH453" s="39"/>
      <c r="CI453" s="39"/>
    </row>
    <row r="454" spans="2:87" ht="15.75" customHeight="1">
      <c r="B454" s="2"/>
      <c r="C454" s="10"/>
      <c r="F454" s="39"/>
      <c r="G454" s="39"/>
      <c r="H454" s="39"/>
      <c r="I454" s="39"/>
      <c r="M454" s="39"/>
      <c r="N454" s="39"/>
      <c r="O454" s="39"/>
      <c r="U454" s="39"/>
      <c r="V454" s="39"/>
      <c r="W454" s="39"/>
      <c r="AC454" s="39"/>
      <c r="AD454" s="39"/>
      <c r="AE454" s="39"/>
      <c r="AK454" s="39"/>
      <c r="AL454" s="39"/>
      <c r="AM454" s="39"/>
      <c r="AS454" s="39"/>
      <c r="AT454" s="39"/>
      <c r="AU454" s="39"/>
      <c r="AZ454" s="40"/>
      <c r="BA454" s="39"/>
      <c r="BB454" s="39"/>
      <c r="BC454" s="39"/>
      <c r="BI454" s="39"/>
      <c r="BJ454" s="39"/>
      <c r="BK454" s="39"/>
      <c r="BQ454" s="39"/>
      <c r="BR454" s="39"/>
      <c r="BS454" s="39"/>
      <c r="BY454" s="39"/>
      <c r="BZ454" s="39"/>
      <c r="CA454" s="39"/>
      <c r="CG454" s="39"/>
      <c r="CH454" s="39"/>
      <c r="CI454" s="39"/>
    </row>
    <row r="455" spans="2:87" ht="15.75" customHeight="1">
      <c r="B455" s="2"/>
      <c r="C455" s="10"/>
      <c r="F455" s="39"/>
      <c r="G455" s="39"/>
      <c r="H455" s="39"/>
      <c r="I455" s="39"/>
      <c r="M455" s="39"/>
      <c r="N455" s="39"/>
      <c r="O455" s="39"/>
      <c r="U455" s="39"/>
      <c r="V455" s="39"/>
      <c r="W455" s="39"/>
      <c r="AC455" s="39"/>
      <c r="AD455" s="39"/>
      <c r="AE455" s="39"/>
      <c r="AK455" s="39"/>
      <c r="AL455" s="39"/>
      <c r="AM455" s="39"/>
      <c r="AS455" s="39"/>
      <c r="AT455" s="39"/>
      <c r="AU455" s="39"/>
      <c r="AZ455" s="40"/>
      <c r="BA455" s="39"/>
      <c r="BB455" s="39"/>
      <c r="BC455" s="39"/>
      <c r="BI455" s="39"/>
      <c r="BJ455" s="39"/>
      <c r="BK455" s="39"/>
      <c r="BQ455" s="39"/>
      <c r="BR455" s="39"/>
      <c r="BS455" s="39"/>
      <c r="BY455" s="39"/>
      <c r="BZ455" s="39"/>
      <c r="CA455" s="39"/>
      <c r="CG455" s="39"/>
      <c r="CH455" s="39"/>
      <c r="CI455" s="39"/>
    </row>
    <row r="456" spans="2:87" ht="15.75" customHeight="1">
      <c r="B456" s="2"/>
      <c r="C456" s="10"/>
      <c r="F456" s="39"/>
      <c r="G456" s="39"/>
      <c r="H456" s="39"/>
      <c r="I456" s="39"/>
      <c r="M456" s="39"/>
      <c r="N456" s="39"/>
      <c r="O456" s="39"/>
      <c r="U456" s="39"/>
      <c r="V456" s="39"/>
      <c r="W456" s="39"/>
      <c r="AC456" s="39"/>
      <c r="AD456" s="39"/>
      <c r="AE456" s="39"/>
      <c r="AK456" s="39"/>
      <c r="AL456" s="39"/>
      <c r="AM456" s="39"/>
      <c r="AS456" s="39"/>
      <c r="AT456" s="39"/>
      <c r="AU456" s="39"/>
      <c r="AZ456" s="40"/>
      <c r="BA456" s="39"/>
      <c r="BB456" s="39"/>
      <c r="BC456" s="39"/>
      <c r="BI456" s="39"/>
      <c r="BJ456" s="39"/>
      <c r="BK456" s="39"/>
      <c r="BQ456" s="39"/>
      <c r="BR456" s="39"/>
      <c r="BS456" s="39"/>
      <c r="BY456" s="39"/>
      <c r="BZ456" s="39"/>
      <c r="CA456" s="39"/>
      <c r="CG456" s="39"/>
      <c r="CH456" s="39"/>
      <c r="CI456" s="39"/>
    </row>
    <row r="457" spans="2:87" ht="15.75" customHeight="1">
      <c r="B457" s="2"/>
      <c r="C457" s="10"/>
      <c r="F457" s="39"/>
      <c r="G457" s="39"/>
      <c r="H457" s="39"/>
      <c r="I457" s="39"/>
      <c r="M457" s="39"/>
      <c r="N457" s="39"/>
      <c r="O457" s="39"/>
      <c r="U457" s="39"/>
      <c r="V457" s="39"/>
      <c r="W457" s="39"/>
      <c r="AC457" s="39"/>
      <c r="AD457" s="39"/>
      <c r="AE457" s="39"/>
      <c r="AK457" s="39"/>
      <c r="AL457" s="39"/>
      <c r="AM457" s="39"/>
      <c r="AS457" s="39"/>
      <c r="AT457" s="39"/>
      <c r="AU457" s="39"/>
      <c r="AZ457" s="40"/>
      <c r="BA457" s="39"/>
      <c r="BB457" s="39"/>
      <c r="BC457" s="39"/>
      <c r="BI457" s="39"/>
      <c r="BJ457" s="39"/>
      <c r="BK457" s="39"/>
      <c r="BQ457" s="39"/>
      <c r="BR457" s="39"/>
      <c r="BS457" s="39"/>
      <c r="BY457" s="39"/>
      <c r="BZ457" s="39"/>
      <c r="CA457" s="39"/>
      <c r="CG457" s="39"/>
      <c r="CH457" s="39"/>
      <c r="CI457" s="39"/>
    </row>
    <row r="458" spans="2:87" ht="15.75" customHeight="1">
      <c r="B458" s="2"/>
      <c r="C458" s="10"/>
      <c r="F458" s="39"/>
      <c r="G458" s="39"/>
      <c r="H458" s="39"/>
      <c r="I458" s="39"/>
      <c r="M458" s="39"/>
      <c r="N458" s="39"/>
      <c r="O458" s="39"/>
      <c r="U458" s="39"/>
      <c r="V458" s="39"/>
      <c r="W458" s="39"/>
      <c r="AC458" s="39"/>
      <c r="AD458" s="39"/>
      <c r="AE458" s="39"/>
      <c r="AK458" s="39"/>
      <c r="AL458" s="39"/>
      <c r="AM458" s="39"/>
      <c r="AS458" s="39"/>
      <c r="AT458" s="39"/>
      <c r="AU458" s="39"/>
      <c r="AZ458" s="40"/>
      <c r="BA458" s="39"/>
      <c r="BB458" s="39"/>
      <c r="BC458" s="39"/>
      <c r="BI458" s="39"/>
      <c r="BJ458" s="39"/>
      <c r="BK458" s="39"/>
      <c r="BQ458" s="39"/>
      <c r="BR458" s="39"/>
      <c r="BS458" s="39"/>
      <c r="BY458" s="39"/>
      <c r="BZ458" s="39"/>
      <c r="CA458" s="39"/>
      <c r="CG458" s="39"/>
      <c r="CH458" s="39"/>
      <c r="CI458" s="39"/>
    </row>
    <row r="459" spans="2:87" ht="15.75" customHeight="1">
      <c r="B459" s="2"/>
      <c r="C459" s="10"/>
      <c r="F459" s="39"/>
      <c r="G459" s="39"/>
      <c r="H459" s="39"/>
      <c r="I459" s="39"/>
      <c r="M459" s="39"/>
      <c r="N459" s="39"/>
      <c r="O459" s="39"/>
      <c r="U459" s="39"/>
      <c r="V459" s="39"/>
      <c r="W459" s="39"/>
      <c r="AC459" s="39"/>
      <c r="AD459" s="39"/>
      <c r="AE459" s="39"/>
      <c r="AK459" s="39"/>
      <c r="AL459" s="39"/>
      <c r="AM459" s="39"/>
      <c r="AS459" s="39"/>
      <c r="AT459" s="39"/>
      <c r="AU459" s="39"/>
      <c r="AZ459" s="40"/>
      <c r="BA459" s="39"/>
      <c r="BB459" s="39"/>
      <c r="BC459" s="39"/>
      <c r="BI459" s="39"/>
      <c r="BJ459" s="39"/>
      <c r="BK459" s="39"/>
      <c r="BQ459" s="39"/>
      <c r="BR459" s="39"/>
      <c r="BS459" s="39"/>
      <c r="BY459" s="39"/>
      <c r="BZ459" s="39"/>
      <c r="CA459" s="39"/>
      <c r="CG459" s="39"/>
      <c r="CH459" s="39"/>
      <c r="CI459" s="39"/>
    </row>
    <row r="460" spans="2:87" ht="15.75" customHeight="1">
      <c r="B460" s="2"/>
      <c r="C460" s="10"/>
      <c r="F460" s="39"/>
      <c r="G460" s="39"/>
      <c r="H460" s="39"/>
      <c r="I460" s="39"/>
      <c r="M460" s="39"/>
      <c r="N460" s="39"/>
      <c r="O460" s="39"/>
      <c r="U460" s="39"/>
      <c r="V460" s="39"/>
      <c r="W460" s="39"/>
      <c r="AC460" s="39"/>
      <c r="AD460" s="39"/>
      <c r="AE460" s="39"/>
      <c r="AK460" s="39"/>
      <c r="AL460" s="39"/>
      <c r="AM460" s="39"/>
      <c r="AS460" s="39"/>
      <c r="AT460" s="39"/>
      <c r="AU460" s="39"/>
      <c r="AZ460" s="40"/>
      <c r="BA460" s="39"/>
      <c r="BB460" s="39"/>
      <c r="BC460" s="39"/>
      <c r="BI460" s="39"/>
      <c r="BJ460" s="39"/>
      <c r="BK460" s="39"/>
      <c r="BQ460" s="39"/>
      <c r="BR460" s="39"/>
      <c r="BS460" s="39"/>
      <c r="BY460" s="39"/>
      <c r="BZ460" s="39"/>
      <c r="CA460" s="39"/>
      <c r="CG460" s="39"/>
      <c r="CH460" s="39"/>
      <c r="CI460" s="39"/>
    </row>
    <row r="461" spans="2:87" ht="15.75" customHeight="1">
      <c r="B461" s="2"/>
      <c r="C461" s="10"/>
      <c r="F461" s="39"/>
      <c r="G461" s="39"/>
      <c r="H461" s="39"/>
      <c r="I461" s="39"/>
      <c r="M461" s="39"/>
      <c r="N461" s="39"/>
      <c r="O461" s="39"/>
      <c r="U461" s="39"/>
      <c r="V461" s="39"/>
      <c r="W461" s="39"/>
      <c r="AC461" s="39"/>
      <c r="AD461" s="39"/>
      <c r="AE461" s="39"/>
      <c r="AK461" s="39"/>
      <c r="AL461" s="39"/>
      <c r="AM461" s="39"/>
      <c r="AS461" s="39"/>
      <c r="AT461" s="39"/>
      <c r="AU461" s="39"/>
      <c r="AZ461" s="40"/>
      <c r="BA461" s="39"/>
      <c r="BB461" s="39"/>
      <c r="BC461" s="39"/>
      <c r="BI461" s="39"/>
      <c r="BJ461" s="39"/>
      <c r="BK461" s="39"/>
      <c r="BQ461" s="39"/>
      <c r="BR461" s="39"/>
      <c r="BS461" s="39"/>
      <c r="BY461" s="39"/>
      <c r="BZ461" s="39"/>
      <c r="CA461" s="39"/>
      <c r="CG461" s="39"/>
      <c r="CH461" s="39"/>
      <c r="CI461" s="39"/>
    </row>
    <row r="462" spans="2:87" ht="15.75" customHeight="1">
      <c r="B462" s="2"/>
      <c r="C462" s="10"/>
      <c r="F462" s="39"/>
      <c r="G462" s="39"/>
      <c r="H462" s="39"/>
      <c r="I462" s="39"/>
      <c r="M462" s="39"/>
      <c r="N462" s="39"/>
      <c r="O462" s="39"/>
      <c r="U462" s="39"/>
      <c r="V462" s="39"/>
      <c r="W462" s="39"/>
      <c r="AC462" s="39"/>
      <c r="AD462" s="39"/>
      <c r="AE462" s="39"/>
      <c r="AK462" s="39"/>
      <c r="AL462" s="39"/>
      <c r="AM462" s="39"/>
      <c r="AS462" s="39"/>
      <c r="AT462" s="39"/>
      <c r="AU462" s="39"/>
      <c r="AZ462" s="40"/>
      <c r="BA462" s="39"/>
      <c r="BB462" s="39"/>
      <c r="BC462" s="39"/>
      <c r="BI462" s="39"/>
      <c r="BJ462" s="39"/>
      <c r="BK462" s="39"/>
      <c r="BQ462" s="39"/>
      <c r="BR462" s="39"/>
      <c r="BS462" s="39"/>
      <c r="BY462" s="39"/>
      <c r="BZ462" s="39"/>
      <c r="CA462" s="39"/>
      <c r="CG462" s="39"/>
      <c r="CH462" s="39"/>
      <c r="CI462" s="39"/>
    </row>
    <row r="463" spans="2:87" ht="15.75" customHeight="1">
      <c r="B463" s="2"/>
      <c r="C463" s="10"/>
      <c r="F463" s="39"/>
      <c r="G463" s="39"/>
      <c r="H463" s="39"/>
      <c r="I463" s="39"/>
      <c r="M463" s="39"/>
      <c r="N463" s="39"/>
      <c r="O463" s="39"/>
      <c r="U463" s="39"/>
      <c r="V463" s="39"/>
      <c r="W463" s="39"/>
      <c r="AC463" s="39"/>
      <c r="AD463" s="39"/>
      <c r="AE463" s="39"/>
      <c r="AK463" s="39"/>
      <c r="AL463" s="39"/>
      <c r="AM463" s="39"/>
      <c r="AS463" s="39"/>
      <c r="AT463" s="39"/>
      <c r="AU463" s="39"/>
      <c r="AZ463" s="40"/>
      <c r="BA463" s="39"/>
      <c r="BB463" s="39"/>
      <c r="BC463" s="39"/>
      <c r="BI463" s="39"/>
      <c r="BJ463" s="39"/>
      <c r="BK463" s="39"/>
      <c r="BQ463" s="39"/>
      <c r="BR463" s="39"/>
      <c r="BS463" s="39"/>
      <c r="BY463" s="39"/>
      <c r="BZ463" s="39"/>
      <c r="CA463" s="39"/>
      <c r="CG463" s="39"/>
      <c r="CH463" s="39"/>
      <c r="CI463" s="39"/>
    </row>
    <row r="464" spans="2:87" ht="15.75" customHeight="1">
      <c r="B464" s="2"/>
      <c r="C464" s="10"/>
      <c r="F464" s="39"/>
      <c r="G464" s="39"/>
      <c r="H464" s="39"/>
      <c r="I464" s="39"/>
      <c r="M464" s="39"/>
      <c r="N464" s="39"/>
      <c r="O464" s="39"/>
      <c r="U464" s="39"/>
      <c r="V464" s="39"/>
      <c r="W464" s="39"/>
      <c r="AC464" s="39"/>
      <c r="AD464" s="39"/>
      <c r="AE464" s="39"/>
      <c r="AK464" s="39"/>
      <c r="AL464" s="39"/>
      <c r="AM464" s="39"/>
      <c r="AS464" s="39"/>
      <c r="AT464" s="39"/>
      <c r="AU464" s="39"/>
      <c r="AZ464" s="40"/>
      <c r="BA464" s="39"/>
      <c r="BB464" s="39"/>
      <c r="BC464" s="39"/>
      <c r="BI464" s="39"/>
      <c r="BJ464" s="39"/>
      <c r="BK464" s="39"/>
      <c r="BQ464" s="39"/>
      <c r="BR464" s="39"/>
      <c r="BS464" s="39"/>
      <c r="BY464" s="39"/>
      <c r="BZ464" s="39"/>
      <c r="CA464" s="39"/>
      <c r="CG464" s="39"/>
      <c r="CH464" s="39"/>
      <c r="CI464" s="39"/>
    </row>
    <row r="465" spans="2:87" ht="15.75" customHeight="1">
      <c r="B465" s="2"/>
      <c r="C465" s="10"/>
      <c r="F465" s="39"/>
      <c r="G465" s="39"/>
      <c r="H465" s="39"/>
      <c r="I465" s="39"/>
      <c r="M465" s="39"/>
      <c r="N465" s="39"/>
      <c r="O465" s="39"/>
      <c r="U465" s="39"/>
      <c r="V465" s="39"/>
      <c r="W465" s="39"/>
      <c r="AC465" s="39"/>
      <c r="AD465" s="39"/>
      <c r="AE465" s="39"/>
      <c r="AK465" s="39"/>
      <c r="AL465" s="39"/>
      <c r="AM465" s="39"/>
      <c r="AS465" s="39"/>
      <c r="AT465" s="39"/>
      <c r="AU465" s="39"/>
      <c r="AZ465" s="40"/>
      <c r="BA465" s="39"/>
      <c r="BB465" s="39"/>
      <c r="BC465" s="39"/>
      <c r="BI465" s="39"/>
      <c r="BJ465" s="39"/>
      <c r="BK465" s="39"/>
      <c r="BQ465" s="39"/>
      <c r="BR465" s="39"/>
      <c r="BS465" s="39"/>
      <c r="BY465" s="39"/>
      <c r="BZ465" s="39"/>
      <c r="CA465" s="39"/>
      <c r="CG465" s="39"/>
      <c r="CH465" s="39"/>
      <c r="CI465" s="39"/>
    </row>
    <row r="466" spans="2:87" ht="15.75" customHeight="1">
      <c r="B466" s="2"/>
      <c r="C466" s="10"/>
      <c r="F466" s="39"/>
      <c r="G466" s="39"/>
      <c r="H466" s="39"/>
      <c r="I466" s="39"/>
      <c r="M466" s="39"/>
      <c r="N466" s="39"/>
      <c r="O466" s="39"/>
      <c r="U466" s="39"/>
      <c r="V466" s="39"/>
      <c r="W466" s="39"/>
      <c r="AC466" s="39"/>
      <c r="AD466" s="39"/>
      <c r="AE466" s="39"/>
      <c r="AK466" s="39"/>
      <c r="AL466" s="39"/>
      <c r="AM466" s="39"/>
      <c r="AS466" s="39"/>
      <c r="AT466" s="39"/>
      <c r="AU466" s="39"/>
      <c r="AZ466" s="40"/>
      <c r="BA466" s="39"/>
      <c r="BB466" s="39"/>
      <c r="BC466" s="39"/>
      <c r="BI466" s="39"/>
      <c r="BJ466" s="39"/>
      <c r="BK466" s="39"/>
      <c r="BQ466" s="39"/>
      <c r="BR466" s="39"/>
      <c r="BS466" s="39"/>
      <c r="BY466" s="39"/>
      <c r="BZ466" s="39"/>
      <c r="CA466" s="39"/>
      <c r="CG466" s="39"/>
      <c r="CH466" s="39"/>
      <c r="CI466" s="39"/>
    </row>
    <row r="467" spans="2:87" ht="15.75" customHeight="1">
      <c r="B467" s="2"/>
      <c r="C467" s="10"/>
      <c r="F467" s="39"/>
      <c r="G467" s="39"/>
      <c r="H467" s="39"/>
      <c r="I467" s="39"/>
      <c r="M467" s="39"/>
      <c r="N467" s="39"/>
      <c r="O467" s="39"/>
      <c r="U467" s="39"/>
      <c r="V467" s="39"/>
      <c r="W467" s="39"/>
      <c r="AC467" s="39"/>
      <c r="AD467" s="39"/>
      <c r="AE467" s="39"/>
      <c r="AK467" s="39"/>
      <c r="AL467" s="39"/>
      <c r="AM467" s="39"/>
      <c r="AS467" s="39"/>
      <c r="AT467" s="39"/>
      <c r="AU467" s="39"/>
      <c r="AZ467" s="40"/>
      <c r="BA467" s="39"/>
      <c r="BB467" s="39"/>
      <c r="BC467" s="39"/>
      <c r="BI467" s="39"/>
      <c r="BJ467" s="39"/>
      <c r="BK467" s="39"/>
      <c r="BQ467" s="39"/>
      <c r="BR467" s="39"/>
      <c r="BS467" s="39"/>
      <c r="BY467" s="39"/>
      <c r="BZ467" s="39"/>
      <c r="CA467" s="39"/>
      <c r="CG467" s="39"/>
      <c r="CH467" s="39"/>
      <c r="CI467" s="39"/>
    </row>
    <row r="468" spans="2:87" ht="15.75" customHeight="1">
      <c r="B468" s="2"/>
      <c r="C468" s="10"/>
      <c r="F468" s="39"/>
      <c r="G468" s="39"/>
      <c r="H468" s="39"/>
      <c r="I468" s="39"/>
      <c r="M468" s="39"/>
      <c r="N468" s="39"/>
      <c r="O468" s="39"/>
      <c r="U468" s="39"/>
      <c r="V468" s="39"/>
      <c r="W468" s="39"/>
      <c r="AC468" s="39"/>
      <c r="AD468" s="39"/>
      <c r="AE468" s="39"/>
      <c r="AK468" s="39"/>
      <c r="AL468" s="39"/>
      <c r="AM468" s="39"/>
      <c r="AS468" s="39"/>
      <c r="AT468" s="39"/>
      <c r="AU468" s="39"/>
      <c r="AZ468" s="40"/>
      <c r="BA468" s="39"/>
      <c r="BB468" s="39"/>
      <c r="BC468" s="39"/>
      <c r="BI468" s="39"/>
      <c r="BJ468" s="39"/>
      <c r="BK468" s="39"/>
      <c r="BQ468" s="39"/>
      <c r="BR468" s="39"/>
      <c r="BS468" s="39"/>
      <c r="BY468" s="39"/>
      <c r="BZ468" s="39"/>
      <c r="CA468" s="39"/>
      <c r="CG468" s="39"/>
      <c r="CH468" s="39"/>
      <c r="CI468" s="39"/>
    </row>
    <row r="469" spans="2:87" ht="15.75" customHeight="1">
      <c r="B469" s="2"/>
      <c r="C469" s="10"/>
      <c r="F469" s="39"/>
      <c r="G469" s="39"/>
      <c r="H469" s="39"/>
      <c r="I469" s="39"/>
      <c r="M469" s="39"/>
      <c r="N469" s="39"/>
      <c r="O469" s="39"/>
      <c r="U469" s="39"/>
      <c r="V469" s="39"/>
      <c r="W469" s="39"/>
      <c r="AC469" s="39"/>
      <c r="AD469" s="39"/>
      <c r="AE469" s="39"/>
      <c r="AK469" s="39"/>
      <c r="AL469" s="39"/>
      <c r="AM469" s="39"/>
      <c r="AS469" s="39"/>
      <c r="AT469" s="39"/>
      <c r="AU469" s="39"/>
      <c r="AZ469" s="40"/>
      <c r="BA469" s="39"/>
      <c r="BB469" s="39"/>
      <c r="BC469" s="39"/>
      <c r="BI469" s="39"/>
      <c r="BJ469" s="39"/>
      <c r="BK469" s="39"/>
      <c r="BQ469" s="39"/>
      <c r="BR469" s="39"/>
      <c r="BS469" s="39"/>
      <c r="BY469" s="39"/>
      <c r="BZ469" s="39"/>
      <c r="CA469" s="39"/>
      <c r="CG469" s="39"/>
      <c r="CH469" s="39"/>
      <c r="CI469" s="39"/>
    </row>
    <row r="470" spans="2:87" ht="15.75" customHeight="1">
      <c r="B470" s="2"/>
      <c r="C470" s="10"/>
      <c r="F470" s="39"/>
      <c r="G470" s="39"/>
      <c r="H470" s="39"/>
      <c r="I470" s="39"/>
      <c r="M470" s="39"/>
      <c r="N470" s="39"/>
      <c r="O470" s="39"/>
      <c r="U470" s="39"/>
      <c r="V470" s="39"/>
      <c r="W470" s="39"/>
      <c r="AC470" s="39"/>
      <c r="AD470" s="39"/>
      <c r="AE470" s="39"/>
      <c r="AK470" s="39"/>
      <c r="AL470" s="39"/>
      <c r="AM470" s="39"/>
      <c r="AS470" s="39"/>
      <c r="AT470" s="39"/>
      <c r="AU470" s="39"/>
      <c r="AZ470" s="40"/>
      <c r="BA470" s="39"/>
      <c r="BB470" s="39"/>
      <c r="BC470" s="39"/>
      <c r="BI470" s="39"/>
      <c r="BJ470" s="39"/>
      <c r="BK470" s="39"/>
      <c r="BQ470" s="39"/>
      <c r="BR470" s="39"/>
      <c r="BS470" s="39"/>
      <c r="BY470" s="39"/>
      <c r="BZ470" s="39"/>
      <c r="CA470" s="39"/>
      <c r="CG470" s="39"/>
      <c r="CH470" s="39"/>
      <c r="CI470" s="39"/>
    </row>
    <row r="471" spans="2:87" ht="15.75" customHeight="1">
      <c r="B471" s="2"/>
      <c r="C471" s="10"/>
      <c r="F471" s="39"/>
      <c r="G471" s="39"/>
      <c r="H471" s="39"/>
      <c r="I471" s="39"/>
      <c r="M471" s="39"/>
      <c r="N471" s="39"/>
      <c r="O471" s="39"/>
      <c r="U471" s="39"/>
      <c r="V471" s="39"/>
      <c r="W471" s="39"/>
      <c r="AC471" s="39"/>
      <c r="AD471" s="39"/>
      <c r="AE471" s="39"/>
      <c r="AK471" s="39"/>
      <c r="AL471" s="39"/>
      <c r="AM471" s="39"/>
      <c r="AS471" s="39"/>
      <c r="AT471" s="39"/>
      <c r="AU471" s="39"/>
      <c r="AZ471" s="40"/>
      <c r="BA471" s="39"/>
      <c r="BB471" s="39"/>
      <c r="BC471" s="39"/>
      <c r="BI471" s="39"/>
      <c r="BJ471" s="39"/>
      <c r="BK471" s="39"/>
      <c r="BQ471" s="39"/>
      <c r="BR471" s="39"/>
      <c r="BS471" s="39"/>
      <c r="BY471" s="39"/>
      <c r="BZ471" s="39"/>
      <c r="CA471" s="39"/>
      <c r="CG471" s="39"/>
      <c r="CH471" s="39"/>
      <c r="CI471" s="39"/>
    </row>
    <row r="472" spans="2:87" ht="15.75" customHeight="1">
      <c r="B472" s="2"/>
      <c r="C472" s="10"/>
      <c r="F472" s="39"/>
      <c r="G472" s="39"/>
      <c r="H472" s="39"/>
      <c r="I472" s="39"/>
      <c r="M472" s="39"/>
      <c r="N472" s="39"/>
      <c r="O472" s="39"/>
      <c r="U472" s="39"/>
      <c r="V472" s="39"/>
      <c r="W472" s="39"/>
      <c r="AC472" s="39"/>
      <c r="AD472" s="39"/>
      <c r="AE472" s="39"/>
      <c r="AK472" s="39"/>
      <c r="AL472" s="39"/>
      <c r="AM472" s="39"/>
      <c r="AS472" s="39"/>
      <c r="AT472" s="39"/>
      <c r="AU472" s="39"/>
      <c r="AZ472" s="40"/>
      <c r="BA472" s="39"/>
      <c r="BB472" s="39"/>
      <c r="BC472" s="39"/>
      <c r="BI472" s="39"/>
      <c r="BJ472" s="39"/>
      <c r="BK472" s="39"/>
      <c r="BQ472" s="39"/>
      <c r="BR472" s="39"/>
      <c r="BS472" s="39"/>
      <c r="BY472" s="39"/>
      <c r="BZ472" s="39"/>
      <c r="CA472" s="39"/>
      <c r="CG472" s="39"/>
      <c r="CH472" s="39"/>
      <c r="CI472" s="39"/>
    </row>
    <row r="473" spans="2:87" ht="15.75" customHeight="1">
      <c r="B473" s="2"/>
      <c r="C473" s="10"/>
      <c r="F473" s="39"/>
      <c r="G473" s="39"/>
      <c r="H473" s="39"/>
      <c r="I473" s="39"/>
      <c r="M473" s="39"/>
      <c r="N473" s="39"/>
      <c r="O473" s="39"/>
      <c r="U473" s="39"/>
      <c r="V473" s="39"/>
      <c r="W473" s="39"/>
      <c r="AC473" s="39"/>
      <c r="AD473" s="39"/>
      <c r="AE473" s="39"/>
      <c r="AK473" s="39"/>
      <c r="AL473" s="39"/>
      <c r="AM473" s="39"/>
      <c r="AS473" s="39"/>
      <c r="AT473" s="39"/>
      <c r="AU473" s="39"/>
      <c r="AZ473" s="40"/>
      <c r="BA473" s="39"/>
      <c r="BB473" s="39"/>
      <c r="BC473" s="39"/>
      <c r="BI473" s="39"/>
      <c r="BJ473" s="39"/>
      <c r="BK473" s="39"/>
      <c r="BQ473" s="39"/>
      <c r="BR473" s="39"/>
      <c r="BS473" s="39"/>
      <c r="BY473" s="39"/>
      <c r="BZ473" s="39"/>
      <c r="CA473" s="39"/>
      <c r="CG473" s="39"/>
      <c r="CH473" s="39"/>
      <c r="CI473" s="39"/>
    </row>
    <row r="474" spans="2:87" ht="15.75" customHeight="1">
      <c r="B474" s="2"/>
      <c r="C474" s="10"/>
      <c r="F474" s="39"/>
      <c r="G474" s="39"/>
      <c r="H474" s="39"/>
      <c r="I474" s="39"/>
      <c r="M474" s="39"/>
      <c r="N474" s="39"/>
      <c r="O474" s="39"/>
      <c r="U474" s="39"/>
      <c r="V474" s="39"/>
      <c r="W474" s="39"/>
      <c r="AC474" s="39"/>
      <c r="AD474" s="39"/>
      <c r="AE474" s="39"/>
      <c r="AK474" s="39"/>
      <c r="AL474" s="39"/>
      <c r="AM474" s="39"/>
      <c r="AS474" s="39"/>
      <c r="AT474" s="39"/>
      <c r="AU474" s="39"/>
      <c r="AZ474" s="40"/>
      <c r="BA474" s="39"/>
      <c r="BB474" s="39"/>
      <c r="BC474" s="39"/>
      <c r="BI474" s="39"/>
      <c r="BJ474" s="39"/>
      <c r="BK474" s="39"/>
      <c r="BQ474" s="39"/>
      <c r="BR474" s="39"/>
      <c r="BS474" s="39"/>
      <c r="BY474" s="39"/>
      <c r="BZ474" s="39"/>
      <c r="CA474" s="39"/>
      <c r="CG474" s="39"/>
      <c r="CH474" s="39"/>
      <c r="CI474" s="39"/>
    </row>
    <row r="475" spans="2:87" ht="15.75" customHeight="1">
      <c r="B475" s="2"/>
      <c r="C475" s="10"/>
      <c r="F475" s="39"/>
      <c r="G475" s="39"/>
      <c r="H475" s="39"/>
      <c r="I475" s="39"/>
      <c r="M475" s="39"/>
      <c r="N475" s="39"/>
      <c r="O475" s="39"/>
      <c r="U475" s="39"/>
      <c r="V475" s="39"/>
      <c r="W475" s="39"/>
      <c r="AC475" s="39"/>
      <c r="AD475" s="39"/>
      <c r="AE475" s="39"/>
      <c r="AK475" s="39"/>
      <c r="AL475" s="39"/>
      <c r="AM475" s="39"/>
      <c r="AS475" s="39"/>
      <c r="AT475" s="39"/>
      <c r="AU475" s="39"/>
      <c r="AZ475" s="40"/>
      <c r="BA475" s="39"/>
      <c r="BB475" s="39"/>
      <c r="BC475" s="39"/>
      <c r="BI475" s="39"/>
      <c r="BJ475" s="39"/>
      <c r="BK475" s="39"/>
      <c r="BQ475" s="39"/>
      <c r="BR475" s="39"/>
      <c r="BS475" s="39"/>
      <c r="BY475" s="39"/>
      <c r="BZ475" s="39"/>
      <c r="CA475" s="39"/>
      <c r="CG475" s="39"/>
      <c r="CH475" s="39"/>
      <c r="CI475" s="39"/>
    </row>
    <row r="476" spans="2:87" ht="15.75" customHeight="1">
      <c r="B476" s="2"/>
      <c r="C476" s="10"/>
      <c r="F476" s="39"/>
      <c r="G476" s="39"/>
      <c r="H476" s="39"/>
      <c r="I476" s="39"/>
      <c r="M476" s="39"/>
      <c r="N476" s="39"/>
      <c r="O476" s="39"/>
      <c r="U476" s="39"/>
      <c r="V476" s="39"/>
      <c r="W476" s="39"/>
      <c r="AC476" s="39"/>
      <c r="AD476" s="39"/>
      <c r="AE476" s="39"/>
      <c r="AK476" s="39"/>
      <c r="AL476" s="39"/>
      <c r="AM476" s="39"/>
      <c r="AS476" s="39"/>
      <c r="AT476" s="39"/>
      <c r="AU476" s="39"/>
      <c r="AZ476" s="40"/>
      <c r="BA476" s="39"/>
      <c r="BB476" s="39"/>
      <c r="BC476" s="39"/>
      <c r="BI476" s="39"/>
      <c r="BJ476" s="39"/>
      <c r="BK476" s="39"/>
      <c r="BQ476" s="39"/>
      <c r="BR476" s="39"/>
      <c r="BS476" s="39"/>
      <c r="BY476" s="39"/>
      <c r="BZ476" s="39"/>
      <c r="CA476" s="39"/>
      <c r="CG476" s="39"/>
      <c r="CH476" s="39"/>
      <c r="CI476" s="39"/>
    </row>
    <row r="477" spans="2:87" ht="15.75" customHeight="1">
      <c r="B477" s="2"/>
      <c r="C477" s="10"/>
      <c r="F477" s="39"/>
      <c r="G477" s="39"/>
      <c r="H477" s="39"/>
      <c r="I477" s="39"/>
      <c r="M477" s="39"/>
      <c r="N477" s="39"/>
      <c r="O477" s="39"/>
      <c r="U477" s="39"/>
      <c r="V477" s="39"/>
      <c r="W477" s="39"/>
      <c r="AC477" s="39"/>
      <c r="AD477" s="39"/>
      <c r="AE477" s="39"/>
      <c r="AK477" s="39"/>
      <c r="AL477" s="39"/>
      <c r="AM477" s="39"/>
      <c r="AS477" s="39"/>
      <c r="AT477" s="39"/>
      <c r="AU477" s="39"/>
      <c r="AZ477" s="40"/>
      <c r="BA477" s="39"/>
      <c r="BB477" s="39"/>
      <c r="BC477" s="39"/>
      <c r="BI477" s="39"/>
      <c r="BJ477" s="39"/>
      <c r="BK477" s="39"/>
      <c r="BQ477" s="39"/>
      <c r="BR477" s="39"/>
      <c r="BS477" s="39"/>
      <c r="BY477" s="39"/>
      <c r="BZ477" s="39"/>
      <c r="CA477" s="39"/>
      <c r="CG477" s="39"/>
      <c r="CH477" s="39"/>
      <c r="CI477" s="39"/>
    </row>
    <row r="478" spans="2:87" ht="15.75" customHeight="1">
      <c r="B478" s="2"/>
      <c r="C478" s="10"/>
      <c r="F478" s="39"/>
      <c r="G478" s="39"/>
      <c r="H478" s="39"/>
      <c r="I478" s="39"/>
      <c r="M478" s="39"/>
      <c r="N478" s="39"/>
      <c r="O478" s="39"/>
      <c r="U478" s="39"/>
      <c r="V478" s="39"/>
      <c r="W478" s="39"/>
      <c r="AC478" s="39"/>
      <c r="AD478" s="39"/>
      <c r="AE478" s="39"/>
      <c r="AK478" s="39"/>
      <c r="AL478" s="39"/>
      <c r="AM478" s="39"/>
      <c r="AS478" s="39"/>
      <c r="AT478" s="39"/>
      <c r="AU478" s="39"/>
      <c r="AZ478" s="40"/>
      <c r="BA478" s="39"/>
      <c r="BB478" s="39"/>
      <c r="BC478" s="39"/>
      <c r="BI478" s="39"/>
      <c r="BJ478" s="39"/>
      <c r="BK478" s="39"/>
      <c r="BQ478" s="39"/>
      <c r="BR478" s="39"/>
      <c r="BS478" s="39"/>
      <c r="BY478" s="39"/>
      <c r="BZ478" s="39"/>
      <c r="CA478" s="39"/>
      <c r="CG478" s="39"/>
      <c r="CH478" s="39"/>
      <c r="CI478" s="39"/>
    </row>
    <row r="479" spans="2:87" ht="15.75" customHeight="1">
      <c r="B479" s="2"/>
      <c r="C479" s="10"/>
      <c r="F479" s="39"/>
      <c r="G479" s="39"/>
      <c r="H479" s="39"/>
      <c r="I479" s="39"/>
      <c r="M479" s="39"/>
      <c r="N479" s="39"/>
      <c r="O479" s="39"/>
      <c r="U479" s="39"/>
      <c r="V479" s="39"/>
      <c r="W479" s="39"/>
      <c r="AC479" s="39"/>
      <c r="AD479" s="39"/>
      <c r="AE479" s="39"/>
      <c r="AK479" s="39"/>
      <c r="AL479" s="39"/>
      <c r="AM479" s="39"/>
      <c r="AS479" s="39"/>
      <c r="AT479" s="39"/>
      <c r="AU479" s="39"/>
      <c r="AZ479" s="40"/>
      <c r="BA479" s="39"/>
      <c r="BB479" s="39"/>
      <c r="BC479" s="39"/>
      <c r="BI479" s="39"/>
      <c r="BJ479" s="39"/>
      <c r="BK479" s="39"/>
      <c r="BQ479" s="39"/>
      <c r="BR479" s="39"/>
      <c r="BS479" s="39"/>
      <c r="BY479" s="39"/>
      <c r="BZ479" s="39"/>
      <c r="CA479" s="39"/>
      <c r="CG479" s="39"/>
      <c r="CH479" s="39"/>
      <c r="CI479" s="39"/>
    </row>
    <row r="480" spans="2:87" ht="15.75" customHeight="1">
      <c r="B480" s="2"/>
      <c r="C480" s="10"/>
      <c r="F480" s="39"/>
      <c r="G480" s="39"/>
      <c r="H480" s="39"/>
      <c r="I480" s="39"/>
      <c r="M480" s="39"/>
      <c r="N480" s="39"/>
      <c r="O480" s="39"/>
      <c r="U480" s="39"/>
      <c r="V480" s="39"/>
      <c r="W480" s="39"/>
      <c r="AC480" s="39"/>
      <c r="AD480" s="39"/>
      <c r="AE480" s="39"/>
      <c r="AK480" s="39"/>
      <c r="AL480" s="39"/>
      <c r="AM480" s="39"/>
      <c r="AS480" s="39"/>
      <c r="AT480" s="39"/>
      <c r="AU480" s="39"/>
      <c r="AZ480" s="40"/>
      <c r="BA480" s="39"/>
      <c r="BB480" s="39"/>
      <c r="BC480" s="39"/>
      <c r="BI480" s="39"/>
      <c r="BJ480" s="39"/>
      <c r="BK480" s="39"/>
      <c r="BQ480" s="39"/>
      <c r="BR480" s="39"/>
      <c r="BS480" s="39"/>
      <c r="BY480" s="39"/>
      <c r="BZ480" s="39"/>
      <c r="CA480" s="39"/>
      <c r="CG480" s="39"/>
      <c r="CH480" s="39"/>
      <c r="CI480" s="39"/>
    </row>
    <row r="481" spans="2:87" ht="15.75" customHeight="1">
      <c r="B481" s="2"/>
      <c r="C481" s="10"/>
      <c r="F481" s="39"/>
      <c r="G481" s="39"/>
      <c r="H481" s="39"/>
      <c r="I481" s="39"/>
      <c r="M481" s="39"/>
      <c r="N481" s="39"/>
      <c r="O481" s="39"/>
      <c r="U481" s="39"/>
      <c r="V481" s="39"/>
      <c r="W481" s="39"/>
      <c r="AC481" s="39"/>
      <c r="AD481" s="39"/>
      <c r="AE481" s="39"/>
      <c r="AK481" s="39"/>
      <c r="AL481" s="39"/>
      <c r="AM481" s="39"/>
      <c r="AS481" s="39"/>
      <c r="AT481" s="39"/>
      <c r="AU481" s="39"/>
      <c r="AZ481" s="40"/>
      <c r="BA481" s="39"/>
      <c r="BB481" s="39"/>
      <c r="BC481" s="39"/>
      <c r="BI481" s="39"/>
      <c r="BJ481" s="39"/>
      <c r="BK481" s="39"/>
      <c r="BQ481" s="39"/>
      <c r="BR481" s="39"/>
      <c r="BS481" s="39"/>
      <c r="BY481" s="39"/>
      <c r="BZ481" s="39"/>
      <c r="CA481" s="39"/>
      <c r="CG481" s="39"/>
      <c r="CH481" s="39"/>
      <c r="CI481" s="39"/>
    </row>
    <row r="482" spans="2:87" ht="15.75" customHeight="1">
      <c r="B482" s="2"/>
      <c r="C482" s="10"/>
      <c r="F482" s="39"/>
      <c r="G482" s="39"/>
      <c r="H482" s="39"/>
      <c r="I482" s="39"/>
      <c r="M482" s="39"/>
      <c r="N482" s="39"/>
      <c r="O482" s="39"/>
      <c r="U482" s="39"/>
      <c r="V482" s="39"/>
      <c r="W482" s="39"/>
      <c r="AC482" s="39"/>
      <c r="AD482" s="39"/>
      <c r="AE482" s="39"/>
      <c r="AK482" s="39"/>
      <c r="AL482" s="39"/>
      <c r="AM482" s="39"/>
      <c r="AS482" s="39"/>
      <c r="AT482" s="39"/>
      <c r="AU482" s="39"/>
      <c r="AZ482" s="40"/>
      <c r="BA482" s="39"/>
      <c r="BB482" s="39"/>
      <c r="BC482" s="39"/>
      <c r="BI482" s="39"/>
      <c r="BJ482" s="39"/>
      <c r="BK482" s="39"/>
      <c r="BQ482" s="39"/>
      <c r="BR482" s="39"/>
      <c r="BS482" s="39"/>
      <c r="BY482" s="39"/>
      <c r="BZ482" s="39"/>
      <c r="CA482" s="39"/>
      <c r="CG482" s="39"/>
      <c r="CH482" s="39"/>
      <c r="CI482" s="39"/>
    </row>
    <row r="483" spans="2:87" ht="15.75" customHeight="1">
      <c r="B483" s="2"/>
      <c r="C483" s="10"/>
      <c r="F483" s="39"/>
      <c r="G483" s="39"/>
      <c r="H483" s="39"/>
      <c r="I483" s="39"/>
      <c r="M483" s="39"/>
      <c r="N483" s="39"/>
      <c r="O483" s="39"/>
      <c r="U483" s="39"/>
      <c r="V483" s="39"/>
      <c r="W483" s="39"/>
      <c r="AC483" s="39"/>
      <c r="AD483" s="39"/>
      <c r="AE483" s="39"/>
      <c r="AK483" s="39"/>
      <c r="AL483" s="39"/>
      <c r="AM483" s="39"/>
      <c r="AS483" s="39"/>
      <c r="AT483" s="39"/>
      <c r="AU483" s="39"/>
      <c r="AZ483" s="40"/>
      <c r="BA483" s="39"/>
      <c r="BB483" s="39"/>
      <c r="BC483" s="39"/>
      <c r="BI483" s="39"/>
      <c r="BJ483" s="39"/>
      <c r="BK483" s="39"/>
      <c r="BQ483" s="39"/>
      <c r="BR483" s="39"/>
      <c r="BS483" s="39"/>
      <c r="BY483" s="39"/>
      <c r="BZ483" s="39"/>
      <c r="CA483" s="39"/>
      <c r="CG483" s="39"/>
      <c r="CH483" s="39"/>
      <c r="CI483" s="39"/>
    </row>
    <row r="484" spans="2:87" ht="15.75" customHeight="1">
      <c r="B484" s="2"/>
      <c r="C484" s="10"/>
      <c r="F484" s="39"/>
      <c r="G484" s="39"/>
      <c r="H484" s="39"/>
      <c r="I484" s="39"/>
      <c r="M484" s="39"/>
      <c r="N484" s="39"/>
      <c r="O484" s="39"/>
      <c r="U484" s="39"/>
      <c r="V484" s="39"/>
      <c r="W484" s="39"/>
      <c r="AC484" s="39"/>
      <c r="AD484" s="39"/>
      <c r="AE484" s="39"/>
      <c r="AK484" s="39"/>
      <c r="AL484" s="39"/>
      <c r="AM484" s="39"/>
      <c r="AS484" s="39"/>
      <c r="AT484" s="39"/>
      <c r="AU484" s="39"/>
      <c r="AZ484" s="40"/>
      <c r="BA484" s="39"/>
      <c r="BB484" s="39"/>
      <c r="BC484" s="39"/>
      <c r="BI484" s="39"/>
      <c r="BJ484" s="39"/>
      <c r="BK484" s="39"/>
      <c r="BQ484" s="39"/>
      <c r="BR484" s="39"/>
      <c r="BS484" s="39"/>
      <c r="BY484" s="39"/>
      <c r="BZ484" s="39"/>
      <c r="CA484" s="39"/>
      <c r="CG484" s="39"/>
      <c r="CH484" s="39"/>
      <c r="CI484" s="39"/>
    </row>
    <row r="485" spans="2:87" ht="15.75" customHeight="1">
      <c r="B485" s="2"/>
      <c r="C485" s="10"/>
      <c r="F485" s="39"/>
      <c r="G485" s="39"/>
      <c r="H485" s="39"/>
      <c r="I485" s="39"/>
      <c r="M485" s="39"/>
      <c r="N485" s="39"/>
      <c r="O485" s="39"/>
      <c r="U485" s="39"/>
      <c r="V485" s="39"/>
      <c r="W485" s="39"/>
      <c r="AC485" s="39"/>
      <c r="AD485" s="39"/>
      <c r="AE485" s="39"/>
      <c r="AK485" s="39"/>
      <c r="AL485" s="39"/>
      <c r="AM485" s="39"/>
      <c r="AS485" s="39"/>
      <c r="AT485" s="39"/>
      <c r="AU485" s="39"/>
      <c r="AZ485" s="40"/>
      <c r="BA485" s="39"/>
      <c r="BB485" s="39"/>
      <c r="BC485" s="39"/>
      <c r="BI485" s="39"/>
      <c r="BJ485" s="39"/>
      <c r="BK485" s="39"/>
      <c r="BQ485" s="39"/>
      <c r="BR485" s="39"/>
      <c r="BS485" s="39"/>
      <c r="BY485" s="39"/>
      <c r="BZ485" s="39"/>
      <c r="CA485" s="39"/>
      <c r="CG485" s="39"/>
      <c r="CH485" s="39"/>
      <c r="CI485" s="39"/>
    </row>
    <row r="486" spans="2:87" ht="15.75" customHeight="1">
      <c r="B486" s="2"/>
      <c r="C486" s="10"/>
      <c r="F486" s="39"/>
      <c r="G486" s="39"/>
      <c r="H486" s="39"/>
      <c r="I486" s="39"/>
      <c r="M486" s="39"/>
      <c r="N486" s="39"/>
      <c r="O486" s="39"/>
      <c r="U486" s="39"/>
      <c r="V486" s="39"/>
      <c r="W486" s="39"/>
      <c r="AC486" s="39"/>
      <c r="AD486" s="39"/>
      <c r="AE486" s="39"/>
      <c r="AK486" s="39"/>
      <c r="AL486" s="39"/>
      <c r="AM486" s="39"/>
      <c r="AS486" s="39"/>
      <c r="AT486" s="39"/>
      <c r="AU486" s="39"/>
      <c r="AZ486" s="40"/>
      <c r="BA486" s="39"/>
      <c r="BB486" s="39"/>
      <c r="BC486" s="39"/>
      <c r="BI486" s="39"/>
      <c r="BJ486" s="39"/>
      <c r="BK486" s="39"/>
      <c r="BQ486" s="39"/>
      <c r="BR486" s="39"/>
      <c r="BS486" s="39"/>
      <c r="BY486" s="39"/>
      <c r="BZ486" s="39"/>
      <c r="CA486" s="39"/>
      <c r="CG486" s="39"/>
      <c r="CH486" s="39"/>
      <c r="CI486" s="39"/>
    </row>
    <row r="487" spans="2:87" ht="15.75" customHeight="1">
      <c r="B487" s="2"/>
      <c r="C487" s="10"/>
      <c r="F487" s="39"/>
      <c r="G487" s="39"/>
      <c r="H487" s="39"/>
      <c r="I487" s="39"/>
      <c r="M487" s="39"/>
      <c r="N487" s="39"/>
      <c r="O487" s="39"/>
      <c r="U487" s="39"/>
      <c r="V487" s="39"/>
      <c r="W487" s="39"/>
      <c r="AC487" s="39"/>
      <c r="AD487" s="39"/>
      <c r="AE487" s="39"/>
      <c r="AK487" s="39"/>
      <c r="AL487" s="39"/>
      <c r="AM487" s="39"/>
      <c r="AS487" s="39"/>
      <c r="AT487" s="39"/>
      <c r="AU487" s="39"/>
      <c r="AZ487" s="40"/>
      <c r="BA487" s="39"/>
      <c r="BB487" s="39"/>
      <c r="BC487" s="39"/>
      <c r="BI487" s="39"/>
      <c r="BJ487" s="39"/>
      <c r="BK487" s="39"/>
      <c r="BQ487" s="39"/>
      <c r="BR487" s="39"/>
      <c r="BS487" s="39"/>
      <c r="BY487" s="39"/>
      <c r="BZ487" s="39"/>
      <c r="CA487" s="39"/>
      <c r="CG487" s="39"/>
      <c r="CH487" s="39"/>
      <c r="CI487" s="39"/>
    </row>
    <row r="488" spans="2:87" ht="15.75" customHeight="1">
      <c r="B488" s="2"/>
      <c r="C488" s="10"/>
      <c r="F488" s="39"/>
      <c r="G488" s="39"/>
      <c r="H488" s="39"/>
      <c r="I488" s="39"/>
      <c r="M488" s="39"/>
      <c r="N488" s="39"/>
      <c r="O488" s="39"/>
      <c r="U488" s="39"/>
      <c r="V488" s="39"/>
      <c r="W488" s="39"/>
      <c r="AC488" s="39"/>
      <c r="AD488" s="39"/>
      <c r="AE488" s="39"/>
      <c r="AK488" s="39"/>
      <c r="AL488" s="39"/>
      <c r="AM488" s="39"/>
      <c r="AS488" s="39"/>
      <c r="AT488" s="39"/>
      <c r="AU488" s="39"/>
      <c r="AZ488" s="40"/>
      <c r="BA488" s="39"/>
      <c r="BB488" s="39"/>
      <c r="BC488" s="39"/>
      <c r="BI488" s="39"/>
      <c r="BJ488" s="39"/>
      <c r="BK488" s="39"/>
      <c r="BQ488" s="39"/>
      <c r="BR488" s="39"/>
      <c r="BS488" s="39"/>
      <c r="BY488" s="39"/>
      <c r="BZ488" s="39"/>
      <c r="CA488" s="39"/>
      <c r="CG488" s="39"/>
      <c r="CH488" s="39"/>
      <c r="CI488" s="39"/>
    </row>
    <row r="489" spans="2:87" ht="15.75" customHeight="1">
      <c r="B489" s="2"/>
      <c r="C489" s="10"/>
      <c r="F489" s="39"/>
      <c r="G489" s="39"/>
      <c r="H489" s="39"/>
      <c r="I489" s="39"/>
      <c r="M489" s="39"/>
      <c r="N489" s="39"/>
      <c r="O489" s="39"/>
      <c r="U489" s="39"/>
      <c r="V489" s="39"/>
      <c r="W489" s="39"/>
      <c r="AC489" s="39"/>
      <c r="AD489" s="39"/>
      <c r="AE489" s="39"/>
      <c r="AK489" s="39"/>
      <c r="AL489" s="39"/>
      <c r="AM489" s="39"/>
      <c r="AS489" s="39"/>
      <c r="AT489" s="39"/>
      <c r="AU489" s="39"/>
      <c r="AZ489" s="40"/>
      <c r="BA489" s="39"/>
      <c r="BB489" s="39"/>
      <c r="BC489" s="39"/>
      <c r="BI489" s="39"/>
      <c r="BJ489" s="39"/>
      <c r="BK489" s="39"/>
      <c r="BQ489" s="39"/>
      <c r="BR489" s="39"/>
      <c r="BS489" s="39"/>
      <c r="BY489" s="39"/>
      <c r="BZ489" s="39"/>
      <c r="CA489" s="39"/>
      <c r="CG489" s="39"/>
      <c r="CH489" s="39"/>
      <c r="CI489" s="39"/>
    </row>
    <row r="490" spans="2:87" ht="15.75" customHeight="1">
      <c r="B490" s="2"/>
      <c r="C490" s="10"/>
      <c r="F490" s="39"/>
      <c r="G490" s="39"/>
      <c r="H490" s="39"/>
      <c r="I490" s="39"/>
      <c r="M490" s="39"/>
      <c r="N490" s="39"/>
      <c r="O490" s="39"/>
      <c r="U490" s="39"/>
      <c r="V490" s="39"/>
      <c r="W490" s="39"/>
      <c r="AC490" s="39"/>
      <c r="AD490" s="39"/>
      <c r="AE490" s="39"/>
      <c r="AK490" s="39"/>
      <c r="AL490" s="39"/>
      <c r="AM490" s="39"/>
      <c r="AS490" s="39"/>
      <c r="AT490" s="39"/>
      <c r="AU490" s="39"/>
      <c r="AZ490" s="40"/>
      <c r="BA490" s="39"/>
      <c r="BB490" s="39"/>
      <c r="BC490" s="39"/>
      <c r="BI490" s="39"/>
      <c r="BJ490" s="39"/>
      <c r="BK490" s="39"/>
      <c r="BQ490" s="39"/>
      <c r="BR490" s="39"/>
      <c r="BS490" s="39"/>
      <c r="BY490" s="39"/>
      <c r="BZ490" s="39"/>
      <c r="CA490" s="39"/>
      <c r="CG490" s="39"/>
      <c r="CH490" s="39"/>
      <c r="CI490" s="39"/>
    </row>
    <row r="491" spans="2:87" ht="15.75" customHeight="1">
      <c r="B491" s="2"/>
      <c r="C491" s="10"/>
      <c r="F491" s="39"/>
      <c r="G491" s="39"/>
      <c r="H491" s="39"/>
      <c r="I491" s="39"/>
      <c r="M491" s="39"/>
      <c r="N491" s="39"/>
      <c r="O491" s="39"/>
      <c r="U491" s="39"/>
      <c r="V491" s="39"/>
      <c r="W491" s="39"/>
      <c r="AC491" s="39"/>
      <c r="AD491" s="39"/>
      <c r="AE491" s="39"/>
      <c r="AK491" s="39"/>
      <c r="AL491" s="39"/>
      <c r="AM491" s="39"/>
      <c r="AS491" s="39"/>
      <c r="AT491" s="39"/>
      <c r="AU491" s="39"/>
      <c r="AZ491" s="40"/>
      <c r="BA491" s="39"/>
      <c r="BB491" s="39"/>
      <c r="BC491" s="39"/>
      <c r="BI491" s="39"/>
      <c r="BJ491" s="39"/>
      <c r="BK491" s="39"/>
      <c r="BQ491" s="39"/>
      <c r="BR491" s="39"/>
      <c r="BS491" s="39"/>
      <c r="BY491" s="39"/>
      <c r="BZ491" s="39"/>
      <c r="CA491" s="39"/>
      <c r="CG491" s="39"/>
      <c r="CH491" s="39"/>
      <c r="CI491" s="39"/>
    </row>
    <row r="492" spans="2:87" ht="15.75" customHeight="1">
      <c r="B492" s="2"/>
      <c r="C492" s="10"/>
      <c r="F492" s="39"/>
      <c r="G492" s="39"/>
      <c r="H492" s="39"/>
      <c r="I492" s="39"/>
      <c r="M492" s="39"/>
      <c r="N492" s="39"/>
      <c r="O492" s="39"/>
      <c r="U492" s="39"/>
      <c r="V492" s="39"/>
      <c r="W492" s="39"/>
      <c r="AC492" s="39"/>
      <c r="AD492" s="39"/>
      <c r="AE492" s="39"/>
      <c r="AK492" s="39"/>
      <c r="AL492" s="39"/>
      <c r="AM492" s="39"/>
      <c r="AS492" s="39"/>
      <c r="AT492" s="39"/>
      <c r="AU492" s="39"/>
      <c r="AZ492" s="40"/>
      <c r="BA492" s="39"/>
      <c r="BB492" s="39"/>
      <c r="BC492" s="39"/>
      <c r="BI492" s="39"/>
      <c r="BJ492" s="39"/>
      <c r="BK492" s="39"/>
      <c r="BQ492" s="39"/>
      <c r="BR492" s="39"/>
      <c r="BS492" s="39"/>
      <c r="BY492" s="39"/>
      <c r="BZ492" s="39"/>
      <c r="CA492" s="39"/>
      <c r="CG492" s="39"/>
      <c r="CH492" s="39"/>
      <c r="CI492" s="39"/>
    </row>
    <row r="493" spans="2:87" ht="15.75" customHeight="1">
      <c r="B493" s="2"/>
      <c r="C493" s="10"/>
      <c r="F493" s="39"/>
      <c r="G493" s="39"/>
      <c r="H493" s="39"/>
      <c r="I493" s="39"/>
      <c r="M493" s="39"/>
      <c r="N493" s="39"/>
      <c r="O493" s="39"/>
      <c r="U493" s="39"/>
      <c r="V493" s="39"/>
      <c r="W493" s="39"/>
      <c r="AC493" s="39"/>
      <c r="AD493" s="39"/>
      <c r="AE493" s="39"/>
      <c r="AK493" s="39"/>
      <c r="AL493" s="39"/>
      <c r="AM493" s="39"/>
      <c r="AS493" s="39"/>
      <c r="AT493" s="39"/>
      <c r="AU493" s="39"/>
      <c r="AZ493" s="40"/>
      <c r="BA493" s="39"/>
      <c r="BB493" s="39"/>
      <c r="BC493" s="39"/>
      <c r="BI493" s="39"/>
      <c r="BJ493" s="39"/>
      <c r="BK493" s="39"/>
      <c r="BQ493" s="39"/>
      <c r="BR493" s="39"/>
      <c r="BS493" s="39"/>
      <c r="BY493" s="39"/>
      <c r="BZ493" s="39"/>
      <c r="CA493" s="39"/>
      <c r="CG493" s="39"/>
      <c r="CH493" s="39"/>
      <c r="CI493" s="39"/>
    </row>
    <row r="494" spans="2:87" ht="15.75" customHeight="1">
      <c r="B494" s="2"/>
      <c r="C494" s="10"/>
      <c r="F494" s="39"/>
      <c r="G494" s="39"/>
      <c r="H494" s="39"/>
      <c r="I494" s="39"/>
      <c r="M494" s="39"/>
      <c r="N494" s="39"/>
      <c r="O494" s="39"/>
      <c r="U494" s="39"/>
      <c r="V494" s="39"/>
      <c r="W494" s="39"/>
      <c r="AC494" s="39"/>
      <c r="AD494" s="39"/>
      <c r="AE494" s="39"/>
      <c r="AK494" s="39"/>
      <c r="AL494" s="39"/>
      <c r="AM494" s="39"/>
      <c r="AS494" s="39"/>
      <c r="AT494" s="39"/>
      <c r="AU494" s="39"/>
      <c r="AZ494" s="40"/>
      <c r="BA494" s="39"/>
      <c r="BB494" s="39"/>
      <c r="BC494" s="39"/>
      <c r="BI494" s="39"/>
      <c r="BJ494" s="39"/>
      <c r="BK494" s="39"/>
      <c r="BQ494" s="39"/>
      <c r="BR494" s="39"/>
      <c r="BS494" s="39"/>
      <c r="BY494" s="39"/>
      <c r="BZ494" s="39"/>
      <c r="CA494" s="39"/>
      <c r="CG494" s="39"/>
      <c r="CH494" s="39"/>
      <c r="CI494" s="39"/>
    </row>
    <row r="495" spans="2:87" ht="15.75" customHeight="1">
      <c r="B495" s="2"/>
      <c r="C495" s="10"/>
      <c r="F495" s="39"/>
      <c r="G495" s="39"/>
      <c r="H495" s="39"/>
      <c r="I495" s="39"/>
      <c r="M495" s="39"/>
      <c r="N495" s="39"/>
      <c r="O495" s="39"/>
      <c r="U495" s="39"/>
      <c r="V495" s="39"/>
      <c r="W495" s="39"/>
      <c r="AC495" s="39"/>
      <c r="AD495" s="39"/>
      <c r="AE495" s="39"/>
      <c r="AK495" s="39"/>
      <c r="AL495" s="39"/>
      <c r="AM495" s="39"/>
      <c r="AS495" s="39"/>
      <c r="AT495" s="39"/>
      <c r="AU495" s="39"/>
      <c r="AZ495" s="40"/>
      <c r="BA495" s="39"/>
      <c r="BB495" s="39"/>
      <c r="BC495" s="39"/>
      <c r="BI495" s="39"/>
      <c r="BJ495" s="39"/>
      <c r="BK495" s="39"/>
      <c r="BQ495" s="39"/>
      <c r="BR495" s="39"/>
      <c r="BS495" s="39"/>
      <c r="BY495" s="39"/>
      <c r="BZ495" s="39"/>
      <c r="CA495" s="39"/>
      <c r="CG495" s="39"/>
      <c r="CH495" s="39"/>
      <c r="CI495" s="39"/>
    </row>
    <row r="496" spans="2:87" ht="15.75" customHeight="1">
      <c r="B496" s="2"/>
      <c r="C496" s="10"/>
      <c r="F496" s="39"/>
      <c r="G496" s="39"/>
      <c r="H496" s="39"/>
      <c r="I496" s="39"/>
      <c r="M496" s="39"/>
      <c r="N496" s="39"/>
      <c r="O496" s="39"/>
      <c r="U496" s="39"/>
      <c r="V496" s="39"/>
      <c r="W496" s="39"/>
      <c r="AC496" s="39"/>
      <c r="AD496" s="39"/>
      <c r="AE496" s="39"/>
      <c r="AK496" s="39"/>
      <c r="AL496" s="39"/>
      <c r="AM496" s="39"/>
      <c r="AS496" s="39"/>
      <c r="AT496" s="39"/>
      <c r="AU496" s="39"/>
      <c r="AZ496" s="40"/>
      <c r="BA496" s="39"/>
      <c r="BB496" s="39"/>
      <c r="BC496" s="39"/>
      <c r="BI496" s="39"/>
      <c r="BJ496" s="39"/>
      <c r="BK496" s="39"/>
      <c r="BQ496" s="39"/>
      <c r="BR496" s="39"/>
      <c r="BS496" s="39"/>
      <c r="BY496" s="39"/>
      <c r="BZ496" s="39"/>
      <c r="CA496" s="39"/>
      <c r="CG496" s="39"/>
      <c r="CH496" s="39"/>
      <c r="CI496" s="39"/>
    </row>
    <row r="497" spans="2:87" ht="15.75" customHeight="1">
      <c r="B497" s="2"/>
      <c r="C497" s="10"/>
      <c r="F497" s="39"/>
      <c r="G497" s="39"/>
      <c r="H497" s="39"/>
      <c r="I497" s="39"/>
      <c r="M497" s="39"/>
      <c r="N497" s="39"/>
      <c r="O497" s="39"/>
      <c r="U497" s="39"/>
      <c r="V497" s="39"/>
      <c r="W497" s="39"/>
      <c r="AC497" s="39"/>
      <c r="AD497" s="39"/>
      <c r="AE497" s="39"/>
      <c r="AK497" s="39"/>
      <c r="AL497" s="39"/>
      <c r="AM497" s="39"/>
      <c r="AS497" s="39"/>
      <c r="AT497" s="39"/>
      <c r="AU497" s="39"/>
      <c r="AZ497" s="40"/>
      <c r="BA497" s="39"/>
      <c r="BB497" s="39"/>
      <c r="BC497" s="39"/>
      <c r="BI497" s="39"/>
      <c r="BJ497" s="39"/>
      <c r="BK497" s="39"/>
      <c r="BQ497" s="39"/>
      <c r="BR497" s="39"/>
      <c r="BS497" s="39"/>
      <c r="BY497" s="39"/>
      <c r="BZ497" s="39"/>
      <c r="CA497" s="39"/>
      <c r="CG497" s="39"/>
      <c r="CH497" s="39"/>
      <c r="CI497" s="39"/>
    </row>
    <row r="498" spans="2:87" ht="15.75" customHeight="1">
      <c r="B498" s="2"/>
      <c r="C498" s="10"/>
      <c r="F498" s="39"/>
      <c r="G498" s="39"/>
      <c r="H498" s="39"/>
      <c r="I498" s="39"/>
      <c r="M498" s="39"/>
      <c r="N498" s="39"/>
      <c r="O498" s="39"/>
      <c r="U498" s="39"/>
      <c r="V498" s="39"/>
      <c r="W498" s="39"/>
      <c r="AC498" s="39"/>
      <c r="AD498" s="39"/>
      <c r="AE498" s="39"/>
      <c r="AK498" s="39"/>
      <c r="AL498" s="39"/>
      <c r="AM498" s="39"/>
      <c r="AS498" s="39"/>
      <c r="AT498" s="39"/>
      <c r="AU498" s="39"/>
      <c r="AZ498" s="40"/>
      <c r="BA498" s="39"/>
      <c r="BB498" s="39"/>
      <c r="BC498" s="39"/>
      <c r="BI498" s="39"/>
      <c r="BJ498" s="39"/>
      <c r="BK498" s="39"/>
      <c r="BQ498" s="39"/>
      <c r="BR498" s="39"/>
      <c r="BS498" s="39"/>
      <c r="BY498" s="39"/>
      <c r="BZ498" s="39"/>
      <c r="CA498" s="39"/>
      <c r="CG498" s="39"/>
      <c r="CH498" s="39"/>
      <c r="CI498" s="39"/>
    </row>
    <row r="499" spans="2:87" ht="15.75" customHeight="1">
      <c r="B499" s="2"/>
      <c r="C499" s="10"/>
      <c r="F499" s="39"/>
      <c r="G499" s="39"/>
      <c r="H499" s="39"/>
      <c r="I499" s="39"/>
      <c r="M499" s="39"/>
      <c r="N499" s="39"/>
      <c r="O499" s="39"/>
      <c r="U499" s="39"/>
      <c r="V499" s="39"/>
      <c r="W499" s="39"/>
      <c r="AC499" s="39"/>
      <c r="AD499" s="39"/>
      <c r="AE499" s="39"/>
      <c r="AK499" s="39"/>
      <c r="AL499" s="39"/>
      <c r="AM499" s="39"/>
      <c r="AS499" s="39"/>
      <c r="AT499" s="39"/>
      <c r="AU499" s="39"/>
      <c r="AZ499" s="40"/>
      <c r="BA499" s="39"/>
      <c r="BB499" s="39"/>
      <c r="BC499" s="39"/>
      <c r="BI499" s="39"/>
      <c r="BJ499" s="39"/>
      <c r="BK499" s="39"/>
      <c r="BQ499" s="39"/>
      <c r="BR499" s="39"/>
      <c r="BS499" s="39"/>
      <c r="BY499" s="39"/>
      <c r="BZ499" s="39"/>
      <c r="CA499" s="39"/>
      <c r="CG499" s="39"/>
      <c r="CH499" s="39"/>
      <c r="CI499" s="39"/>
    </row>
    <row r="500" spans="2:87" ht="15.75" customHeight="1">
      <c r="B500" s="2"/>
      <c r="C500" s="10"/>
      <c r="F500" s="39"/>
      <c r="G500" s="39"/>
      <c r="H500" s="39"/>
      <c r="I500" s="39"/>
      <c r="M500" s="39"/>
      <c r="N500" s="39"/>
      <c r="O500" s="39"/>
      <c r="U500" s="39"/>
      <c r="V500" s="39"/>
      <c r="W500" s="39"/>
      <c r="AC500" s="39"/>
      <c r="AD500" s="39"/>
      <c r="AE500" s="39"/>
      <c r="AK500" s="39"/>
      <c r="AL500" s="39"/>
      <c r="AM500" s="39"/>
      <c r="AS500" s="39"/>
      <c r="AT500" s="39"/>
      <c r="AU500" s="39"/>
      <c r="AZ500" s="40"/>
      <c r="BA500" s="39"/>
      <c r="BB500" s="39"/>
      <c r="BC500" s="39"/>
      <c r="BI500" s="39"/>
      <c r="BJ500" s="39"/>
      <c r="BK500" s="39"/>
      <c r="BQ500" s="39"/>
      <c r="BR500" s="39"/>
      <c r="BS500" s="39"/>
      <c r="BY500" s="39"/>
      <c r="BZ500" s="39"/>
      <c r="CA500" s="39"/>
      <c r="CG500" s="39"/>
      <c r="CH500" s="39"/>
      <c r="CI500" s="39"/>
    </row>
    <row r="501" spans="2:87" ht="15.75" customHeight="1">
      <c r="B501" s="2"/>
      <c r="C501" s="10"/>
      <c r="F501" s="39"/>
      <c r="G501" s="39"/>
      <c r="H501" s="39"/>
      <c r="I501" s="39"/>
      <c r="M501" s="39"/>
      <c r="N501" s="39"/>
      <c r="O501" s="39"/>
      <c r="U501" s="39"/>
      <c r="V501" s="39"/>
      <c r="W501" s="39"/>
      <c r="AC501" s="39"/>
      <c r="AD501" s="39"/>
      <c r="AE501" s="39"/>
      <c r="AK501" s="39"/>
      <c r="AL501" s="39"/>
      <c r="AM501" s="39"/>
      <c r="AS501" s="39"/>
      <c r="AT501" s="39"/>
      <c r="AU501" s="39"/>
      <c r="AZ501" s="40"/>
      <c r="BA501" s="39"/>
      <c r="BB501" s="39"/>
      <c r="BC501" s="39"/>
      <c r="BI501" s="39"/>
      <c r="BJ501" s="39"/>
      <c r="BK501" s="39"/>
      <c r="BQ501" s="39"/>
      <c r="BR501" s="39"/>
      <c r="BS501" s="39"/>
      <c r="BY501" s="39"/>
      <c r="BZ501" s="39"/>
      <c r="CA501" s="39"/>
      <c r="CG501" s="39"/>
      <c r="CH501" s="39"/>
      <c r="CI501" s="39"/>
    </row>
    <row r="502" spans="2:87" ht="15.75" customHeight="1">
      <c r="B502" s="2"/>
      <c r="C502" s="10"/>
      <c r="F502" s="39"/>
      <c r="G502" s="39"/>
      <c r="H502" s="39"/>
      <c r="I502" s="39"/>
      <c r="M502" s="39"/>
      <c r="N502" s="39"/>
      <c r="O502" s="39"/>
      <c r="U502" s="39"/>
      <c r="V502" s="39"/>
      <c r="W502" s="39"/>
      <c r="AC502" s="39"/>
      <c r="AD502" s="39"/>
      <c r="AE502" s="39"/>
      <c r="AK502" s="39"/>
      <c r="AL502" s="39"/>
      <c r="AM502" s="39"/>
      <c r="AS502" s="39"/>
      <c r="AT502" s="39"/>
      <c r="AU502" s="39"/>
      <c r="AZ502" s="40"/>
      <c r="BA502" s="39"/>
      <c r="BB502" s="39"/>
      <c r="BC502" s="39"/>
      <c r="BI502" s="39"/>
      <c r="BJ502" s="39"/>
      <c r="BK502" s="39"/>
      <c r="BQ502" s="39"/>
      <c r="BR502" s="39"/>
      <c r="BS502" s="39"/>
      <c r="BY502" s="39"/>
      <c r="BZ502" s="39"/>
      <c r="CA502" s="39"/>
      <c r="CG502" s="39"/>
      <c r="CH502" s="39"/>
      <c r="CI502" s="39"/>
    </row>
    <row r="503" spans="2:87" ht="15.75" customHeight="1">
      <c r="B503" s="2"/>
      <c r="C503" s="10"/>
      <c r="F503" s="39"/>
      <c r="G503" s="39"/>
      <c r="H503" s="39"/>
      <c r="I503" s="39"/>
      <c r="M503" s="39"/>
      <c r="N503" s="39"/>
      <c r="O503" s="39"/>
      <c r="U503" s="39"/>
      <c r="V503" s="39"/>
      <c r="W503" s="39"/>
      <c r="AC503" s="39"/>
      <c r="AD503" s="39"/>
      <c r="AE503" s="39"/>
      <c r="AK503" s="39"/>
      <c r="AL503" s="39"/>
      <c r="AM503" s="39"/>
      <c r="AS503" s="39"/>
      <c r="AT503" s="39"/>
      <c r="AU503" s="39"/>
      <c r="AZ503" s="40"/>
      <c r="BA503" s="39"/>
      <c r="BB503" s="39"/>
      <c r="BC503" s="39"/>
      <c r="BI503" s="39"/>
      <c r="BJ503" s="39"/>
      <c r="BK503" s="39"/>
      <c r="BQ503" s="39"/>
      <c r="BR503" s="39"/>
      <c r="BS503" s="39"/>
      <c r="BY503" s="39"/>
      <c r="BZ503" s="39"/>
      <c r="CA503" s="39"/>
      <c r="CG503" s="39"/>
      <c r="CH503" s="39"/>
      <c r="CI503" s="39"/>
    </row>
    <row r="504" spans="2:87" ht="15.75" customHeight="1">
      <c r="B504" s="2"/>
      <c r="C504" s="10"/>
      <c r="F504" s="39"/>
      <c r="G504" s="39"/>
      <c r="H504" s="39"/>
      <c r="I504" s="39"/>
      <c r="M504" s="39"/>
      <c r="N504" s="39"/>
      <c r="O504" s="39"/>
      <c r="U504" s="39"/>
      <c r="V504" s="39"/>
      <c r="W504" s="39"/>
      <c r="AC504" s="39"/>
      <c r="AD504" s="39"/>
      <c r="AE504" s="39"/>
      <c r="AK504" s="39"/>
      <c r="AL504" s="39"/>
      <c r="AM504" s="39"/>
      <c r="AS504" s="39"/>
      <c r="AT504" s="39"/>
      <c r="AU504" s="39"/>
      <c r="AZ504" s="40"/>
      <c r="BA504" s="39"/>
      <c r="BB504" s="39"/>
      <c r="BC504" s="39"/>
      <c r="BI504" s="39"/>
      <c r="BJ504" s="39"/>
      <c r="BK504" s="39"/>
      <c r="BQ504" s="39"/>
      <c r="BR504" s="39"/>
      <c r="BS504" s="39"/>
      <c r="BY504" s="39"/>
      <c r="BZ504" s="39"/>
      <c r="CA504" s="39"/>
      <c r="CG504" s="39"/>
      <c r="CH504" s="39"/>
      <c r="CI504" s="39"/>
    </row>
    <row r="505" spans="2:87" ht="15.75" customHeight="1">
      <c r="B505" s="2"/>
      <c r="C505" s="10"/>
      <c r="F505" s="39"/>
      <c r="G505" s="39"/>
      <c r="H505" s="39"/>
      <c r="I505" s="39"/>
      <c r="M505" s="39"/>
      <c r="N505" s="39"/>
      <c r="O505" s="39"/>
      <c r="U505" s="39"/>
      <c r="V505" s="39"/>
      <c r="W505" s="39"/>
      <c r="AC505" s="39"/>
      <c r="AD505" s="39"/>
      <c r="AE505" s="39"/>
      <c r="AK505" s="39"/>
      <c r="AL505" s="39"/>
      <c r="AM505" s="39"/>
      <c r="AS505" s="39"/>
      <c r="AT505" s="39"/>
      <c r="AU505" s="39"/>
      <c r="AZ505" s="40"/>
      <c r="BA505" s="39"/>
      <c r="BB505" s="39"/>
      <c r="BC505" s="39"/>
      <c r="BI505" s="39"/>
      <c r="BJ505" s="39"/>
      <c r="BK505" s="39"/>
      <c r="BQ505" s="39"/>
      <c r="BR505" s="39"/>
      <c r="BS505" s="39"/>
      <c r="BY505" s="39"/>
      <c r="BZ505" s="39"/>
      <c r="CA505" s="39"/>
      <c r="CG505" s="39"/>
      <c r="CH505" s="39"/>
      <c r="CI505" s="39"/>
    </row>
    <row r="506" spans="2:87" ht="15.75" customHeight="1">
      <c r="B506" s="2"/>
      <c r="C506" s="10"/>
      <c r="F506" s="39"/>
      <c r="G506" s="39"/>
      <c r="H506" s="39"/>
      <c r="I506" s="39"/>
      <c r="M506" s="39"/>
      <c r="N506" s="39"/>
      <c r="O506" s="39"/>
      <c r="U506" s="39"/>
      <c r="V506" s="39"/>
      <c r="W506" s="39"/>
      <c r="AC506" s="39"/>
      <c r="AD506" s="39"/>
      <c r="AE506" s="39"/>
      <c r="AK506" s="39"/>
      <c r="AL506" s="39"/>
      <c r="AM506" s="39"/>
      <c r="AS506" s="39"/>
      <c r="AT506" s="39"/>
      <c r="AU506" s="39"/>
      <c r="AZ506" s="40"/>
      <c r="BA506" s="39"/>
      <c r="BB506" s="39"/>
      <c r="BC506" s="39"/>
      <c r="BI506" s="39"/>
      <c r="BJ506" s="39"/>
      <c r="BK506" s="39"/>
      <c r="BQ506" s="39"/>
      <c r="BR506" s="39"/>
      <c r="BS506" s="39"/>
      <c r="BY506" s="39"/>
      <c r="BZ506" s="39"/>
      <c r="CA506" s="39"/>
      <c r="CG506" s="39"/>
      <c r="CH506" s="39"/>
      <c r="CI506" s="39"/>
    </row>
    <row r="507" spans="2:87" ht="15.75" customHeight="1">
      <c r="B507" s="2"/>
      <c r="C507" s="10"/>
      <c r="F507" s="39"/>
      <c r="G507" s="39"/>
      <c r="H507" s="39"/>
      <c r="I507" s="39"/>
      <c r="M507" s="39"/>
      <c r="N507" s="39"/>
      <c r="O507" s="39"/>
      <c r="U507" s="39"/>
      <c r="V507" s="39"/>
      <c r="W507" s="39"/>
      <c r="AC507" s="39"/>
      <c r="AD507" s="39"/>
      <c r="AE507" s="39"/>
      <c r="AK507" s="39"/>
      <c r="AL507" s="39"/>
      <c r="AM507" s="39"/>
      <c r="AS507" s="39"/>
      <c r="AT507" s="39"/>
      <c r="AU507" s="39"/>
      <c r="AZ507" s="40"/>
      <c r="BA507" s="39"/>
      <c r="BB507" s="39"/>
      <c r="BC507" s="39"/>
      <c r="BI507" s="39"/>
      <c r="BJ507" s="39"/>
      <c r="BK507" s="39"/>
      <c r="BQ507" s="39"/>
      <c r="BR507" s="39"/>
      <c r="BS507" s="39"/>
      <c r="BY507" s="39"/>
      <c r="BZ507" s="39"/>
      <c r="CA507" s="39"/>
      <c r="CG507" s="39"/>
      <c r="CH507" s="39"/>
      <c r="CI507" s="39"/>
    </row>
    <row r="508" spans="2:87" ht="15.75" customHeight="1">
      <c r="B508" s="2"/>
      <c r="C508" s="10"/>
      <c r="F508" s="39"/>
      <c r="G508" s="39"/>
      <c r="H508" s="39"/>
      <c r="I508" s="39"/>
      <c r="M508" s="39"/>
      <c r="N508" s="39"/>
      <c r="O508" s="39"/>
      <c r="U508" s="39"/>
      <c r="V508" s="39"/>
      <c r="W508" s="39"/>
      <c r="AC508" s="39"/>
      <c r="AD508" s="39"/>
      <c r="AE508" s="39"/>
      <c r="AK508" s="39"/>
      <c r="AL508" s="39"/>
      <c r="AM508" s="39"/>
      <c r="AS508" s="39"/>
      <c r="AT508" s="39"/>
      <c r="AU508" s="39"/>
      <c r="AZ508" s="40"/>
      <c r="BA508" s="39"/>
      <c r="BB508" s="39"/>
      <c r="BC508" s="39"/>
      <c r="BI508" s="39"/>
      <c r="BJ508" s="39"/>
      <c r="BK508" s="39"/>
      <c r="BQ508" s="39"/>
      <c r="BR508" s="39"/>
      <c r="BS508" s="39"/>
      <c r="BY508" s="39"/>
      <c r="BZ508" s="39"/>
      <c r="CA508" s="39"/>
      <c r="CG508" s="39"/>
      <c r="CH508" s="39"/>
      <c r="CI508" s="39"/>
    </row>
    <row r="509" spans="2:87" ht="15.75" customHeight="1">
      <c r="B509" s="2"/>
      <c r="C509" s="10"/>
      <c r="F509" s="39"/>
      <c r="G509" s="39"/>
      <c r="H509" s="39"/>
      <c r="I509" s="39"/>
      <c r="M509" s="39"/>
      <c r="N509" s="39"/>
      <c r="O509" s="39"/>
      <c r="U509" s="39"/>
      <c r="V509" s="39"/>
      <c r="W509" s="39"/>
      <c r="AC509" s="39"/>
      <c r="AD509" s="39"/>
      <c r="AE509" s="39"/>
      <c r="AK509" s="39"/>
      <c r="AL509" s="39"/>
      <c r="AM509" s="39"/>
      <c r="AS509" s="39"/>
      <c r="AT509" s="39"/>
      <c r="AU509" s="39"/>
      <c r="AZ509" s="40"/>
      <c r="BA509" s="39"/>
      <c r="BB509" s="39"/>
      <c r="BC509" s="39"/>
      <c r="BI509" s="39"/>
      <c r="BJ509" s="39"/>
      <c r="BK509" s="39"/>
      <c r="BQ509" s="39"/>
      <c r="BR509" s="39"/>
      <c r="BS509" s="39"/>
      <c r="BY509" s="39"/>
      <c r="BZ509" s="39"/>
      <c r="CA509" s="39"/>
      <c r="CG509" s="39"/>
      <c r="CH509" s="39"/>
      <c r="CI509" s="39"/>
    </row>
    <row r="510" spans="2:87" ht="15.75" customHeight="1">
      <c r="B510" s="2"/>
      <c r="C510" s="10"/>
      <c r="F510" s="39"/>
      <c r="G510" s="39"/>
      <c r="H510" s="39"/>
      <c r="I510" s="39"/>
      <c r="M510" s="39"/>
      <c r="N510" s="39"/>
      <c r="O510" s="39"/>
      <c r="U510" s="39"/>
      <c r="V510" s="39"/>
      <c r="W510" s="39"/>
      <c r="AC510" s="39"/>
      <c r="AD510" s="39"/>
      <c r="AE510" s="39"/>
      <c r="AK510" s="39"/>
      <c r="AL510" s="39"/>
      <c r="AM510" s="39"/>
      <c r="AS510" s="39"/>
      <c r="AT510" s="39"/>
      <c r="AU510" s="39"/>
      <c r="AZ510" s="40"/>
      <c r="BA510" s="39"/>
      <c r="BB510" s="39"/>
      <c r="BC510" s="39"/>
      <c r="BI510" s="39"/>
      <c r="BJ510" s="39"/>
      <c r="BK510" s="39"/>
      <c r="BQ510" s="39"/>
      <c r="BR510" s="39"/>
      <c r="BS510" s="39"/>
      <c r="BY510" s="39"/>
      <c r="BZ510" s="39"/>
      <c r="CA510" s="39"/>
      <c r="CG510" s="39"/>
      <c r="CH510" s="39"/>
      <c r="CI510" s="39"/>
    </row>
    <row r="511" spans="2:87" ht="15.75" customHeight="1">
      <c r="B511" s="2"/>
      <c r="C511" s="10"/>
      <c r="F511" s="39"/>
      <c r="G511" s="39"/>
      <c r="H511" s="39"/>
      <c r="I511" s="39"/>
      <c r="M511" s="39"/>
      <c r="N511" s="39"/>
      <c r="O511" s="39"/>
      <c r="U511" s="39"/>
      <c r="V511" s="39"/>
      <c r="W511" s="39"/>
      <c r="AC511" s="39"/>
      <c r="AD511" s="39"/>
      <c r="AE511" s="39"/>
      <c r="AK511" s="39"/>
      <c r="AL511" s="39"/>
      <c r="AM511" s="39"/>
      <c r="AS511" s="39"/>
      <c r="AT511" s="39"/>
      <c r="AU511" s="39"/>
      <c r="AZ511" s="40"/>
      <c r="BA511" s="39"/>
      <c r="BB511" s="39"/>
      <c r="BC511" s="39"/>
      <c r="BI511" s="39"/>
      <c r="BJ511" s="39"/>
      <c r="BK511" s="39"/>
      <c r="BQ511" s="39"/>
      <c r="BR511" s="39"/>
      <c r="BS511" s="39"/>
      <c r="BY511" s="39"/>
      <c r="BZ511" s="39"/>
      <c r="CA511" s="39"/>
      <c r="CG511" s="39"/>
      <c r="CH511" s="39"/>
      <c r="CI511" s="39"/>
    </row>
    <row r="512" spans="2:87" ht="15.75" customHeight="1">
      <c r="B512" s="2"/>
      <c r="C512" s="10"/>
      <c r="F512" s="39"/>
      <c r="G512" s="39"/>
      <c r="H512" s="39"/>
      <c r="I512" s="39"/>
      <c r="M512" s="39"/>
      <c r="N512" s="39"/>
      <c r="O512" s="39"/>
      <c r="U512" s="39"/>
      <c r="V512" s="39"/>
      <c r="W512" s="39"/>
      <c r="AC512" s="39"/>
      <c r="AD512" s="39"/>
      <c r="AE512" s="39"/>
      <c r="AK512" s="39"/>
      <c r="AL512" s="39"/>
      <c r="AM512" s="39"/>
      <c r="AS512" s="39"/>
      <c r="AT512" s="39"/>
      <c r="AU512" s="39"/>
      <c r="AZ512" s="40"/>
      <c r="BA512" s="39"/>
      <c r="BB512" s="39"/>
      <c r="BC512" s="39"/>
      <c r="BI512" s="39"/>
      <c r="BJ512" s="39"/>
      <c r="BK512" s="39"/>
      <c r="BQ512" s="39"/>
      <c r="BR512" s="39"/>
      <c r="BS512" s="39"/>
      <c r="BY512" s="39"/>
      <c r="BZ512" s="39"/>
      <c r="CA512" s="39"/>
      <c r="CG512" s="39"/>
      <c r="CH512" s="39"/>
      <c r="CI512" s="39"/>
    </row>
    <row r="513" spans="2:87" ht="15.75" customHeight="1">
      <c r="B513" s="2"/>
      <c r="C513" s="10"/>
      <c r="F513" s="39"/>
      <c r="G513" s="39"/>
      <c r="H513" s="39"/>
      <c r="I513" s="39"/>
      <c r="M513" s="39"/>
      <c r="N513" s="39"/>
      <c r="O513" s="39"/>
      <c r="U513" s="39"/>
      <c r="V513" s="39"/>
      <c r="W513" s="39"/>
      <c r="AC513" s="39"/>
      <c r="AD513" s="39"/>
      <c r="AE513" s="39"/>
      <c r="AK513" s="39"/>
      <c r="AL513" s="39"/>
      <c r="AM513" s="39"/>
      <c r="AS513" s="39"/>
      <c r="AT513" s="39"/>
      <c r="AU513" s="39"/>
      <c r="AZ513" s="40"/>
      <c r="BA513" s="39"/>
      <c r="BB513" s="39"/>
      <c r="BC513" s="39"/>
      <c r="BI513" s="39"/>
      <c r="BJ513" s="39"/>
      <c r="BK513" s="39"/>
      <c r="BQ513" s="39"/>
      <c r="BR513" s="39"/>
      <c r="BS513" s="39"/>
      <c r="BY513" s="39"/>
      <c r="BZ513" s="39"/>
      <c r="CA513" s="39"/>
      <c r="CG513" s="39"/>
      <c r="CH513" s="39"/>
      <c r="CI513" s="39"/>
    </row>
    <row r="514" spans="2:87" ht="15.75" customHeight="1">
      <c r="B514" s="2"/>
      <c r="C514" s="10"/>
      <c r="F514" s="39"/>
      <c r="G514" s="39"/>
      <c r="H514" s="39"/>
      <c r="I514" s="39"/>
      <c r="M514" s="39"/>
      <c r="N514" s="39"/>
      <c r="O514" s="39"/>
      <c r="U514" s="39"/>
      <c r="V514" s="39"/>
      <c r="W514" s="39"/>
      <c r="AC514" s="39"/>
      <c r="AD514" s="39"/>
      <c r="AE514" s="39"/>
      <c r="AK514" s="39"/>
      <c r="AL514" s="39"/>
      <c r="AM514" s="39"/>
      <c r="AS514" s="39"/>
      <c r="AT514" s="39"/>
      <c r="AU514" s="39"/>
      <c r="AZ514" s="40"/>
      <c r="BA514" s="39"/>
      <c r="BB514" s="39"/>
      <c r="BC514" s="39"/>
      <c r="BI514" s="39"/>
      <c r="BJ514" s="39"/>
      <c r="BK514" s="39"/>
      <c r="BQ514" s="39"/>
      <c r="BR514" s="39"/>
      <c r="BS514" s="39"/>
      <c r="BY514" s="39"/>
      <c r="BZ514" s="39"/>
      <c r="CA514" s="39"/>
      <c r="CG514" s="39"/>
      <c r="CH514" s="39"/>
      <c r="CI514" s="39"/>
    </row>
    <row r="515" spans="2:87" ht="15.75" customHeight="1">
      <c r="B515" s="2"/>
      <c r="C515" s="10"/>
      <c r="F515" s="39"/>
      <c r="G515" s="39"/>
      <c r="H515" s="39"/>
      <c r="I515" s="39"/>
      <c r="M515" s="39"/>
      <c r="N515" s="39"/>
      <c r="O515" s="39"/>
      <c r="U515" s="39"/>
      <c r="V515" s="39"/>
      <c r="W515" s="39"/>
      <c r="AC515" s="39"/>
      <c r="AD515" s="39"/>
      <c r="AE515" s="39"/>
      <c r="AK515" s="39"/>
      <c r="AL515" s="39"/>
      <c r="AM515" s="39"/>
      <c r="AS515" s="39"/>
      <c r="AT515" s="39"/>
      <c r="AU515" s="39"/>
      <c r="AZ515" s="40"/>
      <c r="BA515" s="39"/>
      <c r="BB515" s="39"/>
      <c r="BC515" s="39"/>
      <c r="BI515" s="39"/>
      <c r="BJ515" s="39"/>
      <c r="BK515" s="39"/>
      <c r="BQ515" s="39"/>
      <c r="BR515" s="39"/>
      <c r="BS515" s="39"/>
      <c r="BY515" s="39"/>
      <c r="BZ515" s="39"/>
      <c r="CA515" s="39"/>
      <c r="CG515" s="39"/>
      <c r="CH515" s="39"/>
      <c r="CI515" s="39"/>
    </row>
    <row r="516" spans="2:87" ht="15.75" customHeight="1">
      <c r="B516" s="2"/>
      <c r="C516" s="10"/>
      <c r="F516" s="39"/>
      <c r="G516" s="39"/>
      <c r="H516" s="39"/>
      <c r="I516" s="39"/>
      <c r="M516" s="39"/>
      <c r="N516" s="39"/>
      <c r="O516" s="39"/>
      <c r="U516" s="39"/>
      <c r="V516" s="39"/>
      <c r="W516" s="39"/>
      <c r="AC516" s="39"/>
      <c r="AD516" s="39"/>
      <c r="AE516" s="39"/>
      <c r="AK516" s="39"/>
      <c r="AL516" s="39"/>
      <c r="AM516" s="39"/>
      <c r="AS516" s="39"/>
      <c r="AT516" s="39"/>
      <c r="AU516" s="39"/>
      <c r="AZ516" s="40"/>
      <c r="BA516" s="39"/>
      <c r="BB516" s="39"/>
      <c r="BC516" s="39"/>
      <c r="BI516" s="39"/>
      <c r="BJ516" s="39"/>
      <c r="BK516" s="39"/>
      <c r="BQ516" s="39"/>
      <c r="BR516" s="39"/>
      <c r="BS516" s="39"/>
      <c r="BY516" s="39"/>
      <c r="BZ516" s="39"/>
      <c r="CA516" s="39"/>
      <c r="CG516" s="39"/>
      <c r="CH516" s="39"/>
      <c r="CI516" s="39"/>
    </row>
    <row r="517" spans="2:87" ht="15.75" customHeight="1">
      <c r="B517" s="2"/>
      <c r="C517" s="10"/>
      <c r="F517" s="39"/>
      <c r="G517" s="39"/>
      <c r="H517" s="39"/>
      <c r="I517" s="39"/>
      <c r="M517" s="39"/>
      <c r="N517" s="39"/>
      <c r="O517" s="39"/>
      <c r="U517" s="39"/>
      <c r="V517" s="39"/>
      <c r="W517" s="39"/>
      <c r="AC517" s="39"/>
      <c r="AD517" s="39"/>
      <c r="AE517" s="39"/>
      <c r="AK517" s="39"/>
      <c r="AL517" s="39"/>
      <c r="AM517" s="39"/>
      <c r="AS517" s="39"/>
      <c r="AT517" s="39"/>
      <c r="AU517" s="39"/>
      <c r="AZ517" s="40"/>
      <c r="BA517" s="39"/>
      <c r="BB517" s="39"/>
      <c r="BC517" s="39"/>
      <c r="BI517" s="39"/>
      <c r="BJ517" s="39"/>
      <c r="BK517" s="39"/>
      <c r="BQ517" s="39"/>
      <c r="BR517" s="39"/>
      <c r="BS517" s="39"/>
      <c r="BY517" s="39"/>
      <c r="BZ517" s="39"/>
      <c r="CA517" s="39"/>
      <c r="CG517" s="39"/>
      <c r="CH517" s="39"/>
      <c r="CI517" s="39"/>
    </row>
    <row r="518" spans="2:87" ht="15.75" customHeight="1">
      <c r="B518" s="2"/>
      <c r="C518" s="10"/>
      <c r="F518" s="39"/>
      <c r="G518" s="39"/>
      <c r="H518" s="39"/>
      <c r="I518" s="39"/>
      <c r="M518" s="39"/>
      <c r="N518" s="39"/>
      <c r="O518" s="39"/>
      <c r="U518" s="39"/>
      <c r="V518" s="39"/>
      <c r="W518" s="39"/>
      <c r="AC518" s="39"/>
      <c r="AD518" s="39"/>
      <c r="AE518" s="39"/>
      <c r="AK518" s="39"/>
      <c r="AL518" s="39"/>
      <c r="AM518" s="39"/>
      <c r="AS518" s="39"/>
      <c r="AT518" s="39"/>
      <c r="AU518" s="39"/>
      <c r="AZ518" s="40"/>
      <c r="BA518" s="39"/>
      <c r="BB518" s="39"/>
      <c r="BC518" s="39"/>
      <c r="BI518" s="39"/>
      <c r="BJ518" s="39"/>
      <c r="BK518" s="39"/>
      <c r="BQ518" s="39"/>
      <c r="BR518" s="39"/>
      <c r="BS518" s="39"/>
      <c r="BY518" s="39"/>
      <c r="BZ518" s="39"/>
      <c r="CA518" s="39"/>
      <c r="CG518" s="39"/>
      <c r="CH518" s="39"/>
      <c r="CI518" s="39"/>
    </row>
    <row r="519" spans="2:87" ht="15.75" customHeight="1">
      <c r="B519" s="2"/>
      <c r="C519" s="10"/>
      <c r="F519" s="39"/>
      <c r="G519" s="39"/>
      <c r="H519" s="39"/>
      <c r="I519" s="39"/>
      <c r="M519" s="39"/>
      <c r="N519" s="39"/>
      <c r="O519" s="39"/>
      <c r="U519" s="39"/>
      <c r="V519" s="39"/>
      <c r="W519" s="39"/>
      <c r="AC519" s="39"/>
      <c r="AD519" s="39"/>
      <c r="AE519" s="39"/>
      <c r="AK519" s="39"/>
      <c r="AL519" s="39"/>
      <c r="AM519" s="39"/>
      <c r="AS519" s="39"/>
      <c r="AT519" s="39"/>
      <c r="AU519" s="39"/>
      <c r="AZ519" s="40"/>
      <c r="BA519" s="39"/>
      <c r="BB519" s="39"/>
      <c r="BC519" s="39"/>
      <c r="BI519" s="39"/>
      <c r="BJ519" s="39"/>
      <c r="BK519" s="39"/>
      <c r="BQ519" s="39"/>
      <c r="BR519" s="39"/>
      <c r="BS519" s="39"/>
      <c r="BY519" s="39"/>
      <c r="BZ519" s="39"/>
      <c r="CA519" s="39"/>
      <c r="CG519" s="39"/>
      <c r="CH519" s="39"/>
      <c r="CI519" s="39"/>
    </row>
    <row r="520" spans="2:87" ht="15.75" customHeight="1">
      <c r="B520" s="2"/>
      <c r="C520" s="10"/>
      <c r="F520" s="39"/>
      <c r="G520" s="39"/>
      <c r="H520" s="39"/>
      <c r="I520" s="39"/>
      <c r="M520" s="39"/>
      <c r="N520" s="39"/>
      <c r="O520" s="39"/>
      <c r="U520" s="39"/>
      <c r="V520" s="39"/>
      <c r="W520" s="39"/>
      <c r="AC520" s="39"/>
      <c r="AD520" s="39"/>
      <c r="AE520" s="39"/>
      <c r="AK520" s="39"/>
      <c r="AL520" s="39"/>
      <c r="AM520" s="39"/>
      <c r="AS520" s="39"/>
      <c r="AT520" s="39"/>
      <c r="AU520" s="39"/>
      <c r="AZ520" s="40"/>
      <c r="BA520" s="39"/>
      <c r="BB520" s="39"/>
      <c r="BC520" s="39"/>
      <c r="BI520" s="39"/>
      <c r="BJ520" s="39"/>
      <c r="BK520" s="39"/>
      <c r="BQ520" s="39"/>
      <c r="BR520" s="39"/>
      <c r="BS520" s="39"/>
      <c r="BY520" s="39"/>
      <c r="BZ520" s="39"/>
      <c r="CA520" s="39"/>
      <c r="CG520" s="39"/>
      <c r="CH520" s="39"/>
      <c r="CI520" s="39"/>
    </row>
    <row r="521" spans="2:87" ht="15.75" customHeight="1">
      <c r="B521" s="2"/>
      <c r="C521" s="10"/>
      <c r="F521" s="39"/>
      <c r="G521" s="39"/>
      <c r="H521" s="39"/>
      <c r="I521" s="39"/>
      <c r="M521" s="39"/>
      <c r="N521" s="39"/>
      <c r="O521" s="39"/>
      <c r="U521" s="39"/>
      <c r="V521" s="39"/>
      <c r="W521" s="39"/>
      <c r="AC521" s="39"/>
      <c r="AD521" s="39"/>
      <c r="AE521" s="39"/>
      <c r="AK521" s="39"/>
      <c r="AL521" s="39"/>
      <c r="AM521" s="39"/>
      <c r="AS521" s="39"/>
      <c r="AT521" s="39"/>
      <c r="AU521" s="39"/>
      <c r="AZ521" s="40"/>
      <c r="BA521" s="39"/>
      <c r="BB521" s="39"/>
      <c r="BC521" s="39"/>
      <c r="BI521" s="39"/>
      <c r="BJ521" s="39"/>
      <c r="BK521" s="39"/>
      <c r="BQ521" s="39"/>
      <c r="BR521" s="39"/>
      <c r="BS521" s="39"/>
      <c r="BY521" s="39"/>
      <c r="BZ521" s="39"/>
      <c r="CA521" s="39"/>
      <c r="CG521" s="39"/>
      <c r="CH521" s="39"/>
      <c r="CI521" s="39"/>
    </row>
    <row r="522" spans="2:87" ht="15.75" customHeight="1">
      <c r="B522" s="2"/>
      <c r="C522" s="10"/>
      <c r="F522" s="39"/>
      <c r="G522" s="39"/>
      <c r="H522" s="39"/>
      <c r="I522" s="39"/>
      <c r="M522" s="39"/>
      <c r="N522" s="39"/>
      <c r="O522" s="39"/>
      <c r="U522" s="39"/>
      <c r="V522" s="39"/>
      <c r="W522" s="39"/>
      <c r="AC522" s="39"/>
      <c r="AD522" s="39"/>
      <c r="AE522" s="39"/>
      <c r="AK522" s="39"/>
      <c r="AL522" s="39"/>
      <c r="AM522" s="39"/>
      <c r="AS522" s="39"/>
      <c r="AT522" s="39"/>
      <c r="AU522" s="39"/>
      <c r="AZ522" s="40"/>
      <c r="BA522" s="39"/>
      <c r="BB522" s="39"/>
      <c r="BC522" s="39"/>
      <c r="BI522" s="39"/>
      <c r="BJ522" s="39"/>
      <c r="BK522" s="39"/>
      <c r="BQ522" s="39"/>
      <c r="BR522" s="39"/>
      <c r="BS522" s="39"/>
      <c r="BY522" s="39"/>
      <c r="BZ522" s="39"/>
      <c r="CA522" s="39"/>
      <c r="CG522" s="39"/>
      <c r="CH522" s="39"/>
      <c r="CI522" s="39"/>
    </row>
    <row r="523" spans="2:87" ht="15.75" customHeight="1">
      <c r="B523" s="2"/>
      <c r="C523" s="10"/>
      <c r="F523" s="39"/>
      <c r="G523" s="39"/>
      <c r="H523" s="39"/>
      <c r="I523" s="39"/>
      <c r="M523" s="39"/>
      <c r="N523" s="39"/>
      <c r="O523" s="39"/>
      <c r="U523" s="39"/>
      <c r="V523" s="39"/>
      <c r="W523" s="39"/>
      <c r="AC523" s="39"/>
      <c r="AD523" s="39"/>
      <c r="AE523" s="39"/>
      <c r="AK523" s="39"/>
      <c r="AL523" s="39"/>
      <c r="AM523" s="39"/>
      <c r="AS523" s="39"/>
      <c r="AT523" s="39"/>
      <c r="AU523" s="39"/>
      <c r="AZ523" s="40"/>
      <c r="BA523" s="39"/>
      <c r="BB523" s="39"/>
      <c r="BC523" s="39"/>
      <c r="BI523" s="39"/>
      <c r="BJ523" s="39"/>
      <c r="BK523" s="39"/>
      <c r="BQ523" s="39"/>
      <c r="BR523" s="39"/>
      <c r="BS523" s="39"/>
      <c r="BY523" s="39"/>
      <c r="BZ523" s="39"/>
      <c r="CA523" s="39"/>
      <c r="CG523" s="39"/>
      <c r="CH523" s="39"/>
      <c r="CI523" s="39"/>
    </row>
    <row r="524" spans="2:87" ht="15.75" customHeight="1">
      <c r="B524" s="2"/>
      <c r="C524" s="10"/>
      <c r="F524" s="39"/>
      <c r="G524" s="39"/>
      <c r="H524" s="39"/>
      <c r="I524" s="39"/>
      <c r="M524" s="39"/>
      <c r="N524" s="39"/>
      <c r="O524" s="39"/>
      <c r="U524" s="39"/>
      <c r="V524" s="39"/>
      <c r="W524" s="39"/>
      <c r="AC524" s="39"/>
      <c r="AD524" s="39"/>
      <c r="AE524" s="39"/>
      <c r="AK524" s="39"/>
      <c r="AL524" s="39"/>
      <c r="AM524" s="39"/>
      <c r="AS524" s="39"/>
      <c r="AT524" s="39"/>
      <c r="AU524" s="39"/>
      <c r="AZ524" s="40"/>
      <c r="BA524" s="39"/>
      <c r="BB524" s="39"/>
      <c r="BC524" s="39"/>
      <c r="BI524" s="39"/>
      <c r="BJ524" s="39"/>
      <c r="BK524" s="39"/>
      <c r="BQ524" s="39"/>
      <c r="BR524" s="39"/>
      <c r="BS524" s="39"/>
      <c r="BY524" s="39"/>
      <c r="BZ524" s="39"/>
      <c r="CA524" s="39"/>
      <c r="CG524" s="39"/>
      <c r="CH524" s="39"/>
      <c r="CI524" s="39"/>
    </row>
    <row r="525" spans="2:87" ht="15.75" customHeight="1">
      <c r="B525" s="2"/>
      <c r="C525" s="10"/>
      <c r="F525" s="39"/>
      <c r="G525" s="39"/>
      <c r="H525" s="39"/>
      <c r="I525" s="39"/>
      <c r="M525" s="39"/>
      <c r="N525" s="39"/>
      <c r="O525" s="39"/>
      <c r="U525" s="39"/>
      <c r="V525" s="39"/>
      <c r="W525" s="39"/>
      <c r="AC525" s="39"/>
      <c r="AD525" s="39"/>
      <c r="AE525" s="39"/>
      <c r="AK525" s="39"/>
      <c r="AL525" s="39"/>
      <c r="AM525" s="39"/>
      <c r="AS525" s="39"/>
      <c r="AT525" s="39"/>
      <c r="AU525" s="39"/>
      <c r="AZ525" s="40"/>
      <c r="BA525" s="39"/>
      <c r="BB525" s="39"/>
      <c r="BC525" s="39"/>
      <c r="BI525" s="39"/>
      <c r="BJ525" s="39"/>
      <c r="BK525" s="39"/>
      <c r="BQ525" s="39"/>
      <c r="BR525" s="39"/>
      <c r="BS525" s="39"/>
      <c r="BY525" s="39"/>
      <c r="BZ525" s="39"/>
      <c r="CA525" s="39"/>
      <c r="CG525" s="39"/>
      <c r="CH525" s="39"/>
      <c r="CI525" s="39"/>
    </row>
    <row r="526" spans="2:87" ht="15.75" customHeight="1">
      <c r="B526" s="2"/>
      <c r="C526" s="10"/>
      <c r="F526" s="39"/>
      <c r="G526" s="39"/>
      <c r="H526" s="39"/>
      <c r="I526" s="39"/>
      <c r="M526" s="39"/>
      <c r="N526" s="39"/>
      <c r="O526" s="39"/>
      <c r="U526" s="39"/>
      <c r="V526" s="39"/>
      <c r="W526" s="39"/>
      <c r="AC526" s="39"/>
      <c r="AD526" s="39"/>
      <c r="AE526" s="39"/>
      <c r="AK526" s="39"/>
      <c r="AL526" s="39"/>
      <c r="AM526" s="39"/>
      <c r="AS526" s="39"/>
      <c r="AT526" s="39"/>
      <c r="AU526" s="39"/>
      <c r="AZ526" s="40"/>
      <c r="BA526" s="39"/>
      <c r="BB526" s="39"/>
      <c r="BC526" s="39"/>
      <c r="BI526" s="39"/>
      <c r="BJ526" s="39"/>
      <c r="BK526" s="39"/>
      <c r="BQ526" s="39"/>
      <c r="BR526" s="39"/>
      <c r="BS526" s="39"/>
      <c r="BY526" s="39"/>
      <c r="BZ526" s="39"/>
      <c r="CA526" s="39"/>
      <c r="CG526" s="39"/>
      <c r="CH526" s="39"/>
      <c r="CI526" s="39"/>
    </row>
    <row r="527" spans="2:87" ht="15.75" customHeight="1">
      <c r="B527" s="2"/>
      <c r="C527" s="10"/>
      <c r="F527" s="39"/>
      <c r="G527" s="39"/>
      <c r="H527" s="39"/>
      <c r="I527" s="39"/>
      <c r="M527" s="39"/>
      <c r="N527" s="39"/>
      <c r="O527" s="39"/>
      <c r="U527" s="39"/>
      <c r="V527" s="39"/>
      <c r="W527" s="39"/>
      <c r="AC527" s="39"/>
      <c r="AD527" s="39"/>
      <c r="AE527" s="39"/>
      <c r="AK527" s="39"/>
      <c r="AL527" s="39"/>
      <c r="AM527" s="39"/>
      <c r="AS527" s="39"/>
      <c r="AT527" s="39"/>
      <c r="AU527" s="39"/>
      <c r="AZ527" s="40"/>
      <c r="BA527" s="39"/>
      <c r="BB527" s="39"/>
      <c r="BC527" s="39"/>
      <c r="BI527" s="39"/>
      <c r="BJ527" s="39"/>
      <c r="BK527" s="39"/>
      <c r="BQ527" s="39"/>
      <c r="BR527" s="39"/>
      <c r="BS527" s="39"/>
      <c r="BY527" s="39"/>
      <c r="BZ527" s="39"/>
      <c r="CA527" s="39"/>
      <c r="CG527" s="39"/>
      <c r="CH527" s="39"/>
      <c r="CI527" s="39"/>
    </row>
    <row r="528" spans="2:87" ht="15.75" customHeight="1">
      <c r="B528" s="2"/>
      <c r="C528" s="10"/>
      <c r="F528" s="39"/>
      <c r="G528" s="39"/>
      <c r="H528" s="39"/>
      <c r="I528" s="39"/>
      <c r="M528" s="39"/>
      <c r="N528" s="39"/>
      <c r="O528" s="39"/>
      <c r="U528" s="39"/>
      <c r="V528" s="39"/>
      <c r="W528" s="39"/>
      <c r="AC528" s="39"/>
      <c r="AD528" s="39"/>
      <c r="AE528" s="39"/>
      <c r="AK528" s="39"/>
      <c r="AL528" s="39"/>
      <c r="AM528" s="39"/>
      <c r="AS528" s="39"/>
      <c r="AT528" s="39"/>
      <c r="AU528" s="39"/>
      <c r="AZ528" s="40"/>
      <c r="BA528" s="39"/>
      <c r="BB528" s="39"/>
      <c r="BC528" s="39"/>
      <c r="BI528" s="39"/>
      <c r="BJ528" s="39"/>
      <c r="BK528" s="39"/>
      <c r="BQ528" s="39"/>
      <c r="BR528" s="39"/>
      <c r="BS528" s="39"/>
      <c r="BY528" s="39"/>
      <c r="BZ528" s="39"/>
      <c r="CA528" s="39"/>
      <c r="CG528" s="39"/>
      <c r="CH528" s="39"/>
      <c r="CI528" s="39"/>
    </row>
    <row r="529" spans="2:87" ht="15.75" customHeight="1">
      <c r="B529" s="2"/>
      <c r="C529" s="10"/>
      <c r="F529" s="39"/>
      <c r="G529" s="39"/>
      <c r="H529" s="39"/>
      <c r="I529" s="39"/>
      <c r="M529" s="39"/>
      <c r="N529" s="39"/>
      <c r="O529" s="39"/>
      <c r="U529" s="39"/>
      <c r="V529" s="39"/>
      <c r="W529" s="39"/>
      <c r="AC529" s="39"/>
      <c r="AD529" s="39"/>
      <c r="AE529" s="39"/>
      <c r="AK529" s="39"/>
      <c r="AL529" s="39"/>
      <c r="AM529" s="39"/>
      <c r="AS529" s="39"/>
      <c r="AT529" s="39"/>
      <c r="AU529" s="39"/>
      <c r="AZ529" s="40"/>
      <c r="BA529" s="39"/>
      <c r="BB529" s="39"/>
      <c r="BC529" s="39"/>
      <c r="BI529" s="39"/>
      <c r="BJ529" s="39"/>
      <c r="BK529" s="39"/>
      <c r="BQ529" s="39"/>
      <c r="BR529" s="39"/>
      <c r="BS529" s="39"/>
      <c r="BY529" s="39"/>
      <c r="BZ529" s="39"/>
      <c r="CA529" s="39"/>
      <c r="CG529" s="39"/>
      <c r="CH529" s="39"/>
      <c r="CI529" s="39"/>
    </row>
    <row r="530" spans="2:87" ht="15.75" customHeight="1">
      <c r="B530" s="2"/>
      <c r="C530" s="10"/>
      <c r="F530" s="39"/>
      <c r="G530" s="39"/>
      <c r="H530" s="39"/>
      <c r="I530" s="39"/>
      <c r="M530" s="39"/>
      <c r="N530" s="39"/>
      <c r="O530" s="39"/>
      <c r="U530" s="39"/>
      <c r="V530" s="39"/>
      <c r="W530" s="39"/>
      <c r="AC530" s="39"/>
      <c r="AD530" s="39"/>
      <c r="AE530" s="39"/>
      <c r="AK530" s="39"/>
      <c r="AL530" s="39"/>
      <c r="AM530" s="39"/>
      <c r="AS530" s="39"/>
      <c r="AT530" s="39"/>
      <c r="AU530" s="39"/>
      <c r="AZ530" s="40"/>
      <c r="BA530" s="39"/>
      <c r="BB530" s="39"/>
      <c r="BC530" s="39"/>
      <c r="BI530" s="39"/>
      <c r="BJ530" s="39"/>
      <c r="BK530" s="39"/>
      <c r="BQ530" s="39"/>
      <c r="BR530" s="39"/>
      <c r="BS530" s="39"/>
      <c r="BY530" s="39"/>
      <c r="BZ530" s="39"/>
      <c r="CA530" s="39"/>
      <c r="CG530" s="39"/>
      <c r="CH530" s="39"/>
      <c r="CI530" s="39"/>
    </row>
    <row r="531" spans="2:87" ht="15.75" customHeight="1">
      <c r="B531" s="2"/>
      <c r="C531" s="10"/>
      <c r="F531" s="39"/>
      <c r="G531" s="39"/>
      <c r="H531" s="39"/>
      <c r="I531" s="39"/>
      <c r="M531" s="39"/>
      <c r="N531" s="39"/>
      <c r="O531" s="39"/>
      <c r="U531" s="39"/>
      <c r="V531" s="39"/>
      <c r="W531" s="39"/>
      <c r="AC531" s="39"/>
      <c r="AD531" s="39"/>
      <c r="AE531" s="39"/>
      <c r="AK531" s="39"/>
      <c r="AL531" s="39"/>
      <c r="AM531" s="39"/>
      <c r="AS531" s="39"/>
      <c r="AT531" s="39"/>
      <c r="AU531" s="39"/>
      <c r="AZ531" s="40"/>
      <c r="BA531" s="39"/>
      <c r="BB531" s="39"/>
      <c r="BC531" s="39"/>
      <c r="BI531" s="39"/>
      <c r="BJ531" s="39"/>
      <c r="BK531" s="39"/>
      <c r="BQ531" s="39"/>
      <c r="BR531" s="39"/>
      <c r="BS531" s="39"/>
      <c r="BY531" s="39"/>
      <c r="BZ531" s="39"/>
      <c r="CA531" s="39"/>
      <c r="CG531" s="39"/>
      <c r="CH531" s="39"/>
      <c r="CI531" s="39"/>
    </row>
    <row r="532" spans="2:87" ht="15.75" customHeight="1">
      <c r="B532" s="2"/>
      <c r="C532" s="10"/>
      <c r="F532" s="39"/>
      <c r="G532" s="39"/>
      <c r="H532" s="39"/>
      <c r="I532" s="39"/>
      <c r="M532" s="39"/>
      <c r="N532" s="39"/>
      <c r="O532" s="39"/>
      <c r="U532" s="39"/>
      <c r="V532" s="39"/>
      <c r="W532" s="39"/>
      <c r="AC532" s="39"/>
      <c r="AD532" s="39"/>
      <c r="AE532" s="39"/>
      <c r="AK532" s="39"/>
      <c r="AL532" s="39"/>
      <c r="AM532" s="39"/>
      <c r="AS532" s="39"/>
      <c r="AT532" s="39"/>
      <c r="AU532" s="39"/>
      <c r="AZ532" s="40"/>
      <c r="BA532" s="39"/>
      <c r="BB532" s="39"/>
      <c r="BC532" s="39"/>
      <c r="BI532" s="39"/>
      <c r="BJ532" s="39"/>
      <c r="BK532" s="39"/>
      <c r="BQ532" s="39"/>
      <c r="BR532" s="39"/>
      <c r="BS532" s="39"/>
      <c r="BY532" s="39"/>
      <c r="BZ532" s="39"/>
      <c r="CA532" s="39"/>
      <c r="CG532" s="39"/>
      <c r="CH532" s="39"/>
      <c r="CI532" s="39"/>
    </row>
    <row r="533" spans="2:87" ht="15.75" customHeight="1">
      <c r="B533" s="2"/>
      <c r="C533" s="10"/>
      <c r="F533" s="39"/>
      <c r="G533" s="39"/>
      <c r="H533" s="39"/>
      <c r="I533" s="39"/>
      <c r="M533" s="39"/>
      <c r="N533" s="39"/>
      <c r="O533" s="39"/>
      <c r="U533" s="39"/>
      <c r="V533" s="39"/>
      <c r="W533" s="39"/>
      <c r="AC533" s="39"/>
      <c r="AD533" s="39"/>
      <c r="AE533" s="39"/>
      <c r="AK533" s="39"/>
      <c r="AL533" s="39"/>
      <c r="AM533" s="39"/>
      <c r="AS533" s="39"/>
      <c r="AT533" s="39"/>
      <c r="AU533" s="39"/>
      <c r="AZ533" s="40"/>
      <c r="BA533" s="39"/>
      <c r="BB533" s="39"/>
      <c r="BC533" s="39"/>
      <c r="BI533" s="39"/>
      <c r="BJ533" s="39"/>
      <c r="BK533" s="39"/>
      <c r="BQ533" s="39"/>
      <c r="BR533" s="39"/>
      <c r="BS533" s="39"/>
      <c r="BY533" s="39"/>
      <c r="BZ533" s="39"/>
      <c r="CA533" s="39"/>
      <c r="CG533" s="39"/>
      <c r="CH533" s="39"/>
      <c r="CI533" s="39"/>
    </row>
    <row r="534" spans="2:87" ht="15.75" customHeight="1">
      <c r="B534" s="2"/>
      <c r="C534" s="10"/>
      <c r="F534" s="39"/>
      <c r="G534" s="39"/>
      <c r="H534" s="39"/>
      <c r="I534" s="39"/>
      <c r="M534" s="39"/>
      <c r="N534" s="39"/>
      <c r="O534" s="39"/>
      <c r="U534" s="39"/>
      <c r="V534" s="39"/>
      <c r="W534" s="39"/>
      <c r="AC534" s="39"/>
      <c r="AD534" s="39"/>
      <c r="AE534" s="39"/>
      <c r="AK534" s="39"/>
      <c r="AL534" s="39"/>
      <c r="AM534" s="39"/>
      <c r="AS534" s="39"/>
      <c r="AT534" s="39"/>
      <c r="AU534" s="39"/>
      <c r="AZ534" s="40"/>
      <c r="BA534" s="39"/>
      <c r="BB534" s="39"/>
      <c r="BC534" s="39"/>
      <c r="BI534" s="39"/>
      <c r="BJ534" s="39"/>
      <c r="BK534" s="39"/>
      <c r="BQ534" s="39"/>
      <c r="BR534" s="39"/>
      <c r="BS534" s="39"/>
      <c r="BY534" s="39"/>
      <c r="BZ534" s="39"/>
      <c r="CA534" s="39"/>
      <c r="CG534" s="39"/>
      <c r="CH534" s="39"/>
      <c r="CI534" s="39"/>
    </row>
    <row r="535" spans="2:87" ht="15.75" customHeight="1">
      <c r="B535" s="2"/>
      <c r="C535" s="10"/>
      <c r="F535" s="39"/>
      <c r="G535" s="39"/>
      <c r="H535" s="39"/>
      <c r="I535" s="39"/>
      <c r="M535" s="39"/>
      <c r="N535" s="39"/>
      <c r="O535" s="39"/>
      <c r="U535" s="39"/>
      <c r="V535" s="39"/>
      <c r="W535" s="39"/>
      <c r="AC535" s="39"/>
      <c r="AD535" s="39"/>
      <c r="AE535" s="39"/>
      <c r="AK535" s="39"/>
      <c r="AL535" s="39"/>
      <c r="AM535" s="39"/>
      <c r="AS535" s="39"/>
      <c r="AT535" s="39"/>
      <c r="AU535" s="39"/>
      <c r="AZ535" s="40"/>
      <c r="BA535" s="39"/>
      <c r="BB535" s="39"/>
      <c r="BC535" s="39"/>
      <c r="BI535" s="39"/>
      <c r="BJ535" s="39"/>
      <c r="BK535" s="39"/>
      <c r="BQ535" s="39"/>
      <c r="BR535" s="39"/>
      <c r="BS535" s="39"/>
      <c r="BY535" s="39"/>
      <c r="BZ535" s="39"/>
      <c r="CA535" s="39"/>
      <c r="CG535" s="39"/>
      <c r="CH535" s="39"/>
      <c r="CI535" s="39"/>
    </row>
    <row r="536" spans="2:87" ht="15.75" customHeight="1">
      <c r="B536" s="2"/>
      <c r="C536" s="10"/>
      <c r="F536" s="39"/>
      <c r="G536" s="39"/>
      <c r="H536" s="39"/>
      <c r="I536" s="39"/>
      <c r="M536" s="39"/>
      <c r="N536" s="39"/>
      <c r="O536" s="39"/>
      <c r="U536" s="39"/>
      <c r="V536" s="39"/>
      <c r="W536" s="39"/>
      <c r="AC536" s="39"/>
      <c r="AD536" s="39"/>
      <c r="AE536" s="39"/>
      <c r="AK536" s="39"/>
      <c r="AL536" s="39"/>
      <c r="AM536" s="39"/>
      <c r="AS536" s="39"/>
      <c r="AT536" s="39"/>
      <c r="AU536" s="39"/>
      <c r="AZ536" s="40"/>
      <c r="BA536" s="39"/>
      <c r="BB536" s="39"/>
      <c r="BC536" s="39"/>
      <c r="BI536" s="39"/>
      <c r="BJ536" s="39"/>
      <c r="BK536" s="39"/>
      <c r="BQ536" s="39"/>
      <c r="BR536" s="39"/>
      <c r="BS536" s="39"/>
      <c r="BY536" s="39"/>
      <c r="BZ536" s="39"/>
      <c r="CA536" s="39"/>
      <c r="CG536" s="39"/>
      <c r="CH536" s="39"/>
      <c r="CI536" s="39"/>
    </row>
    <row r="537" spans="2:87" ht="15.75" customHeight="1">
      <c r="B537" s="2"/>
      <c r="C537" s="10"/>
      <c r="F537" s="39"/>
      <c r="G537" s="39"/>
      <c r="H537" s="39"/>
      <c r="I537" s="39"/>
      <c r="M537" s="39"/>
      <c r="N537" s="39"/>
      <c r="O537" s="39"/>
      <c r="U537" s="39"/>
      <c r="V537" s="39"/>
      <c r="W537" s="39"/>
      <c r="AC537" s="39"/>
      <c r="AD537" s="39"/>
      <c r="AE537" s="39"/>
      <c r="AK537" s="39"/>
      <c r="AL537" s="39"/>
      <c r="AM537" s="39"/>
      <c r="AS537" s="39"/>
      <c r="AT537" s="39"/>
      <c r="AU537" s="39"/>
      <c r="AZ537" s="40"/>
      <c r="BA537" s="39"/>
      <c r="BB537" s="39"/>
      <c r="BC537" s="39"/>
      <c r="BI537" s="39"/>
      <c r="BJ537" s="39"/>
      <c r="BK537" s="39"/>
      <c r="BQ537" s="39"/>
      <c r="BR537" s="39"/>
      <c r="BS537" s="39"/>
      <c r="BY537" s="39"/>
      <c r="BZ537" s="39"/>
      <c r="CA537" s="39"/>
      <c r="CG537" s="39"/>
      <c r="CH537" s="39"/>
      <c r="CI537" s="39"/>
    </row>
    <row r="538" spans="2:87" ht="15.75" customHeight="1">
      <c r="B538" s="2"/>
      <c r="C538" s="10"/>
      <c r="F538" s="39"/>
      <c r="G538" s="39"/>
      <c r="H538" s="39"/>
      <c r="I538" s="39"/>
      <c r="M538" s="39"/>
      <c r="N538" s="39"/>
      <c r="O538" s="39"/>
      <c r="U538" s="39"/>
      <c r="V538" s="39"/>
      <c r="W538" s="39"/>
      <c r="AC538" s="39"/>
      <c r="AD538" s="39"/>
      <c r="AE538" s="39"/>
      <c r="AK538" s="39"/>
      <c r="AL538" s="39"/>
      <c r="AM538" s="39"/>
      <c r="AS538" s="39"/>
      <c r="AT538" s="39"/>
      <c r="AU538" s="39"/>
      <c r="AZ538" s="40"/>
      <c r="BA538" s="39"/>
      <c r="BB538" s="39"/>
      <c r="BC538" s="39"/>
      <c r="BI538" s="39"/>
      <c r="BJ538" s="39"/>
      <c r="BK538" s="39"/>
      <c r="BQ538" s="39"/>
      <c r="BR538" s="39"/>
      <c r="BS538" s="39"/>
      <c r="BY538" s="39"/>
      <c r="BZ538" s="39"/>
      <c r="CA538" s="39"/>
      <c r="CG538" s="39"/>
      <c r="CH538" s="39"/>
      <c r="CI538" s="39"/>
    </row>
    <row r="539" spans="2:87" ht="15.75" customHeight="1">
      <c r="B539" s="2"/>
      <c r="C539" s="10"/>
      <c r="F539" s="39"/>
      <c r="G539" s="39"/>
      <c r="H539" s="39"/>
      <c r="I539" s="39"/>
      <c r="M539" s="39"/>
      <c r="N539" s="39"/>
      <c r="O539" s="39"/>
      <c r="U539" s="39"/>
      <c r="V539" s="39"/>
      <c r="W539" s="39"/>
      <c r="AC539" s="39"/>
      <c r="AD539" s="39"/>
      <c r="AE539" s="39"/>
      <c r="AK539" s="39"/>
      <c r="AL539" s="39"/>
      <c r="AM539" s="39"/>
      <c r="AS539" s="39"/>
      <c r="AT539" s="39"/>
      <c r="AU539" s="39"/>
      <c r="AZ539" s="40"/>
      <c r="BA539" s="39"/>
      <c r="BB539" s="39"/>
      <c r="BC539" s="39"/>
      <c r="BI539" s="39"/>
      <c r="BJ539" s="39"/>
      <c r="BK539" s="39"/>
      <c r="BQ539" s="39"/>
      <c r="BR539" s="39"/>
      <c r="BS539" s="39"/>
      <c r="BY539" s="39"/>
      <c r="BZ539" s="39"/>
      <c r="CA539" s="39"/>
      <c r="CG539" s="39"/>
      <c r="CH539" s="39"/>
      <c r="CI539" s="39"/>
    </row>
    <row r="540" spans="2:87" ht="15.75" customHeight="1">
      <c r="B540" s="2"/>
      <c r="C540" s="10"/>
      <c r="F540" s="39"/>
      <c r="G540" s="39"/>
      <c r="H540" s="39"/>
      <c r="I540" s="39"/>
      <c r="M540" s="39"/>
      <c r="N540" s="39"/>
      <c r="O540" s="39"/>
      <c r="U540" s="39"/>
      <c r="V540" s="39"/>
      <c r="W540" s="39"/>
      <c r="AC540" s="39"/>
      <c r="AD540" s="39"/>
      <c r="AE540" s="39"/>
      <c r="AK540" s="39"/>
      <c r="AL540" s="39"/>
      <c r="AM540" s="39"/>
      <c r="AS540" s="39"/>
      <c r="AT540" s="39"/>
      <c r="AU540" s="39"/>
      <c r="AZ540" s="40"/>
      <c r="BA540" s="39"/>
      <c r="BB540" s="39"/>
      <c r="BC540" s="39"/>
      <c r="BI540" s="39"/>
      <c r="BJ540" s="39"/>
      <c r="BK540" s="39"/>
      <c r="BQ540" s="39"/>
      <c r="BR540" s="39"/>
      <c r="BS540" s="39"/>
      <c r="BY540" s="39"/>
      <c r="BZ540" s="39"/>
      <c r="CA540" s="39"/>
      <c r="CG540" s="39"/>
      <c r="CH540" s="39"/>
      <c r="CI540" s="39"/>
    </row>
    <row r="541" spans="2:87" ht="15.75" customHeight="1">
      <c r="B541" s="2"/>
      <c r="C541" s="10"/>
      <c r="F541" s="39"/>
      <c r="G541" s="39"/>
      <c r="H541" s="39"/>
      <c r="I541" s="39"/>
      <c r="M541" s="39"/>
      <c r="N541" s="39"/>
      <c r="O541" s="39"/>
      <c r="U541" s="39"/>
      <c r="V541" s="39"/>
      <c r="W541" s="39"/>
      <c r="AC541" s="39"/>
      <c r="AD541" s="39"/>
      <c r="AE541" s="39"/>
      <c r="AK541" s="39"/>
      <c r="AL541" s="39"/>
      <c r="AM541" s="39"/>
      <c r="AS541" s="39"/>
      <c r="AT541" s="39"/>
      <c r="AU541" s="39"/>
      <c r="AZ541" s="40"/>
      <c r="BA541" s="39"/>
      <c r="BB541" s="39"/>
      <c r="BC541" s="39"/>
      <c r="BI541" s="39"/>
      <c r="BJ541" s="39"/>
      <c r="BK541" s="39"/>
      <c r="BQ541" s="39"/>
      <c r="BR541" s="39"/>
      <c r="BS541" s="39"/>
      <c r="BY541" s="39"/>
      <c r="BZ541" s="39"/>
      <c r="CA541" s="39"/>
      <c r="CG541" s="39"/>
      <c r="CH541" s="39"/>
      <c r="CI541" s="39"/>
    </row>
    <row r="542" spans="2:87" ht="15.75" customHeight="1">
      <c r="B542" s="2"/>
      <c r="C542" s="10"/>
      <c r="F542" s="39"/>
      <c r="G542" s="39"/>
      <c r="H542" s="39"/>
      <c r="I542" s="39"/>
      <c r="M542" s="39"/>
      <c r="N542" s="39"/>
      <c r="O542" s="39"/>
      <c r="U542" s="39"/>
      <c r="V542" s="39"/>
      <c r="W542" s="39"/>
      <c r="AC542" s="39"/>
      <c r="AD542" s="39"/>
      <c r="AE542" s="39"/>
      <c r="AK542" s="39"/>
      <c r="AL542" s="39"/>
      <c r="AM542" s="39"/>
      <c r="AS542" s="39"/>
      <c r="AT542" s="39"/>
      <c r="AU542" s="39"/>
      <c r="AZ542" s="40"/>
      <c r="BA542" s="39"/>
      <c r="BB542" s="39"/>
      <c r="BC542" s="39"/>
      <c r="BI542" s="39"/>
      <c r="BJ542" s="39"/>
      <c r="BK542" s="39"/>
      <c r="BQ542" s="39"/>
      <c r="BR542" s="39"/>
      <c r="BS542" s="39"/>
      <c r="BY542" s="39"/>
      <c r="BZ542" s="39"/>
      <c r="CA542" s="39"/>
      <c r="CG542" s="39"/>
      <c r="CH542" s="39"/>
      <c r="CI542" s="39"/>
    </row>
    <row r="543" spans="2:87" ht="15.75" customHeight="1">
      <c r="B543" s="2"/>
      <c r="C543" s="10"/>
      <c r="F543" s="39"/>
      <c r="G543" s="39"/>
      <c r="H543" s="39"/>
      <c r="I543" s="39"/>
      <c r="M543" s="39"/>
      <c r="N543" s="39"/>
      <c r="O543" s="39"/>
      <c r="U543" s="39"/>
      <c r="V543" s="39"/>
      <c r="W543" s="39"/>
      <c r="AC543" s="39"/>
      <c r="AD543" s="39"/>
      <c r="AE543" s="39"/>
      <c r="AK543" s="39"/>
      <c r="AL543" s="39"/>
      <c r="AM543" s="39"/>
      <c r="AS543" s="39"/>
      <c r="AT543" s="39"/>
      <c r="AU543" s="39"/>
      <c r="AZ543" s="40"/>
      <c r="BA543" s="39"/>
      <c r="BB543" s="39"/>
      <c r="BC543" s="39"/>
      <c r="BI543" s="39"/>
      <c r="BJ543" s="39"/>
      <c r="BK543" s="39"/>
      <c r="BQ543" s="39"/>
      <c r="BR543" s="39"/>
      <c r="BS543" s="39"/>
      <c r="BY543" s="39"/>
      <c r="BZ543" s="39"/>
      <c r="CA543" s="39"/>
      <c r="CG543" s="39"/>
      <c r="CH543" s="39"/>
      <c r="CI543" s="39"/>
    </row>
    <row r="544" spans="2:87" ht="15.75" customHeight="1">
      <c r="B544" s="2"/>
      <c r="C544" s="10"/>
      <c r="F544" s="39"/>
      <c r="G544" s="39"/>
      <c r="H544" s="39"/>
      <c r="I544" s="39"/>
      <c r="M544" s="39"/>
      <c r="N544" s="39"/>
      <c r="O544" s="39"/>
      <c r="U544" s="39"/>
      <c r="V544" s="39"/>
      <c r="W544" s="39"/>
      <c r="AC544" s="39"/>
      <c r="AD544" s="39"/>
      <c r="AE544" s="39"/>
      <c r="AK544" s="39"/>
      <c r="AL544" s="39"/>
      <c r="AM544" s="39"/>
      <c r="AS544" s="39"/>
      <c r="AT544" s="39"/>
      <c r="AU544" s="39"/>
      <c r="AZ544" s="40"/>
      <c r="BA544" s="39"/>
      <c r="BB544" s="39"/>
      <c r="BC544" s="39"/>
      <c r="BI544" s="39"/>
      <c r="BJ544" s="39"/>
      <c r="BK544" s="39"/>
      <c r="BQ544" s="39"/>
      <c r="BR544" s="39"/>
      <c r="BS544" s="39"/>
      <c r="BY544" s="39"/>
      <c r="BZ544" s="39"/>
      <c r="CA544" s="39"/>
      <c r="CG544" s="39"/>
      <c r="CH544" s="39"/>
      <c r="CI544" s="39"/>
    </row>
    <row r="545" spans="2:87" ht="15.75" customHeight="1">
      <c r="B545" s="2"/>
      <c r="C545" s="10"/>
      <c r="F545" s="39"/>
      <c r="G545" s="39"/>
      <c r="H545" s="39"/>
      <c r="I545" s="39"/>
      <c r="M545" s="39"/>
      <c r="N545" s="39"/>
      <c r="O545" s="39"/>
      <c r="U545" s="39"/>
      <c r="V545" s="39"/>
      <c r="W545" s="39"/>
      <c r="AC545" s="39"/>
      <c r="AD545" s="39"/>
      <c r="AE545" s="39"/>
      <c r="AK545" s="39"/>
      <c r="AL545" s="39"/>
      <c r="AM545" s="39"/>
      <c r="AS545" s="39"/>
      <c r="AT545" s="39"/>
      <c r="AU545" s="39"/>
      <c r="AZ545" s="40"/>
      <c r="BA545" s="39"/>
      <c r="BB545" s="39"/>
      <c r="BC545" s="39"/>
      <c r="BI545" s="39"/>
      <c r="BJ545" s="39"/>
      <c r="BK545" s="39"/>
      <c r="BQ545" s="39"/>
      <c r="BR545" s="39"/>
      <c r="BS545" s="39"/>
      <c r="BY545" s="39"/>
      <c r="BZ545" s="39"/>
      <c r="CA545" s="39"/>
      <c r="CG545" s="39"/>
      <c r="CH545" s="39"/>
      <c r="CI545" s="39"/>
    </row>
    <row r="546" spans="2:87" ht="15.75" customHeight="1">
      <c r="B546" s="2"/>
      <c r="C546" s="10"/>
      <c r="F546" s="39"/>
      <c r="G546" s="39"/>
      <c r="H546" s="39"/>
      <c r="I546" s="39"/>
      <c r="M546" s="39"/>
      <c r="N546" s="39"/>
      <c r="O546" s="39"/>
      <c r="U546" s="39"/>
      <c r="V546" s="39"/>
      <c r="W546" s="39"/>
      <c r="AC546" s="39"/>
      <c r="AD546" s="39"/>
      <c r="AE546" s="39"/>
      <c r="AK546" s="39"/>
      <c r="AL546" s="39"/>
      <c r="AM546" s="39"/>
      <c r="AS546" s="39"/>
      <c r="AT546" s="39"/>
      <c r="AU546" s="39"/>
      <c r="AZ546" s="40"/>
      <c r="BA546" s="39"/>
      <c r="BB546" s="39"/>
      <c r="BC546" s="39"/>
      <c r="BI546" s="39"/>
      <c r="BJ546" s="39"/>
      <c r="BK546" s="39"/>
      <c r="BQ546" s="39"/>
      <c r="BR546" s="39"/>
      <c r="BS546" s="39"/>
      <c r="BY546" s="39"/>
      <c r="BZ546" s="39"/>
      <c r="CA546" s="39"/>
      <c r="CG546" s="39"/>
      <c r="CH546" s="39"/>
      <c r="CI546" s="39"/>
    </row>
    <row r="547" spans="2:87" ht="15.75" customHeight="1">
      <c r="B547" s="2"/>
      <c r="C547" s="10"/>
      <c r="F547" s="39"/>
      <c r="G547" s="39"/>
      <c r="H547" s="39"/>
      <c r="I547" s="39"/>
      <c r="M547" s="39"/>
      <c r="N547" s="39"/>
      <c r="O547" s="39"/>
      <c r="U547" s="39"/>
      <c r="V547" s="39"/>
      <c r="W547" s="39"/>
      <c r="AC547" s="39"/>
      <c r="AD547" s="39"/>
      <c r="AE547" s="39"/>
      <c r="AK547" s="39"/>
      <c r="AL547" s="39"/>
      <c r="AM547" s="39"/>
      <c r="AS547" s="39"/>
      <c r="AT547" s="39"/>
      <c r="AU547" s="39"/>
      <c r="AZ547" s="40"/>
      <c r="BA547" s="39"/>
      <c r="BB547" s="39"/>
      <c r="BC547" s="39"/>
      <c r="BI547" s="39"/>
      <c r="BJ547" s="39"/>
      <c r="BK547" s="39"/>
      <c r="BQ547" s="39"/>
      <c r="BR547" s="39"/>
      <c r="BS547" s="39"/>
      <c r="BY547" s="39"/>
      <c r="BZ547" s="39"/>
      <c r="CA547" s="39"/>
      <c r="CG547" s="39"/>
      <c r="CH547" s="39"/>
      <c r="CI547" s="39"/>
    </row>
    <row r="548" spans="2:87" ht="15.75" customHeight="1">
      <c r="B548" s="2"/>
      <c r="C548" s="10"/>
      <c r="F548" s="39"/>
      <c r="G548" s="39"/>
      <c r="H548" s="39"/>
      <c r="I548" s="39"/>
      <c r="M548" s="39"/>
      <c r="N548" s="39"/>
      <c r="O548" s="39"/>
      <c r="U548" s="39"/>
      <c r="V548" s="39"/>
      <c r="W548" s="39"/>
      <c r="AC548" s="39"/>
      <c r="AD548" s="39"/>
      <c r="AE548" s="39"/>
      <c r="AK548" s="39"/>
      <c r="AL548" s="39"/>
      <c r="AM548" s="39"/>
      <c r="AS548" s="39"/>
      <c r="AT548" s="39"/>
      <c r="AU548" s="39"/>
      <c r="AZ548" s="40"/>
      <c r="BA548" s="39"/>
      <c r="BB548" s="39"/>
      <c r="BC548" s="39"/>
      <c r="BI548" s="39"/>
      <c r="BJ548" s="39"/>
      <c r="BK548" s="39"/>
      <c r="BQ548" s="39"/>
      <c r="BR548" s="39"/>
      <c r="BS548" s="39"/>
      <c r="BY548" s="39"/>
      <c r="BZ548" s="39"/>
      <c r="CA548" s="39"/>
      <c r="CG548" s="39"/>
      <c r="CH548" s="39"/>
      <c r="CI548" s="39"/>
    </row>
    <row r="549" spans="2:87" ht="15.75" customHeight="1">
      <c r="B549" s="2"/>
      <c r="C549" s="10"/>
      <c r="F549" s="39"/>
      <c r="G549" s="39"/>
      <c r="H549" s="39"/>
      <c r="I549" s="39"/>
      <c r="M549" s="39"/>
      <c r="N549" s="39"/>
      <c r="O549" s="39"/>
      <c r="U549" s="39"/>
      <c r="V549" s="39"/>
      <c r="W549" s="39"/>
      <c r="AC549" s="39"/>
      <c r="AD549" s="39"/>
      <c r="AE549" s="39"/>
      <c r="AK549" s="39"/>
      <c r="AL549" s="39"/>
      <c r="AM549" s="39"/>
      <c r="AS549" s="39"/>
      <c r="AT549" s="39"/>
      <c r="AU549" s="39"/>
      <c r="AZ549" s="40"/>
      <c r="BA549" s="39"/>
      <c r="BB549" s="39"/>
      <c r="BC549" s="39"/>
      <c r="BI549" s="39"/>
      <c r="BJ549" s="39"/>
      <c r="BK549" s="39"/>
      <c r="BQ549" s="39"/>
      <c r="BR549" s="39"/>
      <c r="BS549" s="39"/>
      <c r="BY549" s="39"/>
      <c r="BZ549" s="39"/>
      <c r="CA549" s="39"/>
      <c r="CG549" s="39"/>
      <c r="CH549" s="39"/>
      <c r="CI549" s="39"/>
    </row>
    <row r="550" spans="2:87" ht="15.75" customHeight="1">
      <c r="B550" s="2"/>
      <c r="C550" s="10"/>
      <c r="F550" s="39"/>
      <c r="G550" s="39"/>
      <c r="H550" s="39"/>
      <c r="I550" s="39"/>
      <c r="M550" s="39"/>
      <c r="N550" s="39"/>
      <c r="O550" s="39"/>
      <c r="U550" s="39"/>
      <c r="V550" s="39"/>
      <c r="W550" s="39"/>
      <c r="AC550" s="39"/>
      <c r="AD550" s="39"/>
      <c r="AE550" s="39"/>
      <c r="AK550" s="39"/>
      <c r="AL550" s="39"/>
      <c r="AM550" s="39"/>
      <c r="AS550" s="39"/>
      <c r="AT550" s="39"/>
      <c r="AU550" s="39"/>
      <c r="AZ550" s="40"/>
      <c r="BA550" s="39"/>
      <c r="BB550" s="39"/>
      <c r="BC550" s="39"/>
      <c r="BI550" s="39"/>
      <c r="BJ550" s="39"/>
      <c r="BK550" s="39"/>
      <c r="BQ550" s="39"/>
      <c r="BR550" s="39"/>
      <c r="BS550" s="39"/>
      <c r="BY550" s="39"/>
      <c r="BZ550" s="39"/>
      <c r="CA550" s="39"/>
      <c r="CG550" s="39"/>
      <c r="CH550" s="39"/>
      <c r="CI550" s="39"/>
    </row>
    <row r="551" spans="2:87" ht="15.75" customHeight="1">
      <c r="B551" s="2"/>
      <c r="C551" s="10"/>
      <c r="F551" s="39"/>
      <c r="G551" s="39"/>
      <c r="H551" s="39"/>
      <c r="I551" s="39"/>
      <c r="M551" s="39"/>
      <c r="N551" s="39"/>
      <c r="O551" s="39"/>
      <c r="U551" s="39"/>
      <c r="V551" s="39"/>
      <c r="W551" s="39"/>
      <c r="AC551" s="39"/>
      <c r="AD551" s="39"/>
      <c r="AE551" s="39"/>
      <c r="AK551" s="39"/>
      <c r="AL551" s="39"/>
      <c r="AM551" s="39"/>
      <c r="AS551" s="39"/>
      <c r="AT551" s="39"/>
      <c r="AU551" s="39"/>
      <c r="AZ551" s="40"/>
      <c r="BA551" s="39"/>
      <c r="BB551" s="39"/>
      <c r="BC551" s="39"/>
      <c r="BI551" s="39"/>
      <c r="BJ551" s="39"/>
      <c r="BK551" s="39"/>
      <c r="BQ551" s="39"/>
      <c r="BR551" s="39"/>
      <c r="BS551" s="39"/>
      <c r="BY551" s="39"/>
      <c r="BZ551" s="39"/>
      <c r="CA551" s="39"/>
      <c r="CG551" s="39"/>
      <c r="CH551" s="39"/>
      <c r="CI551" s="39"/>
    </row>
    <row r="552" spans="2:87" ht="15.75" customHeight="1">
      <c r="B552" s="2"/>
      <c r="C552" s="10"/>
      <c r="F552" s="39"/>
      <c r="G552" s="39"/>
      <c r="H552" s="39"/>
      <c r="I552" s="39"/>
      <c r="M552" s="39"/>
      <c r="N552" s="39"/>
      <c r="O552" s="39"/>
      <c r="U552" s="39"/>
      <c r="V552" s="39"/>
      <c r="W552" s="39"/>
      <c r="AC552" s="39"/>
      <c r="AD552" s="39"/>
      <c r="AE552" s="39"/>
      <c r="AK552" s="39"/>
      <c r="AL552" s="39"/>
      <c r="AM552" s="39"/>
      <c r="AS552" s="39"/>
      <c r="AT552" s="39"/>
      <c r="AU552" s="39"/>
      <c r="AZ552" s="40"/>
      <c r="BA552" s="39"/>
      <c r="BB552" s="39"/>
      <c r="BC552" s="39"/>
      <c r="BI552" s="39"/>
      <c r="BJ552" s="39"/>
      <c r="BK552" s="39"/>
      <c r="BQ552" s="39"/>
      <c r="BR552" s="39"/>
      <c r="BS552" s="39"/>
      <c r="BY552" s="39"/>
      <c r="BZ552" s="39"/>
      <c r="CA552" s="39"/>
      <c r="CG552" s="39"/>
      <c r="CH552" s="39"/>
      <c r="CI552" s="39"/>
    </row>
    <row r="553" spans="2:87" ht="15.75" customHeight="1">
      <c r="B553" s="2"/>
      <c r="C553" s="10"/>
      <c r="F553" s="39"/>
      <c r="G553" s="39"/>
      <c r="H553" s="39"/>
      <c r="I553" s="39"/>
      <c r="M553" s="39"/>
      <c r="N553" s="39"/>
      <c r="O553" s="39"/>
      <c r="U553" s="39"/>
      <c r="V553" s="39"/>
      <c r="W553" s="39"/>
      <c r="AC553" s="39"/>
      <c r="AD553" s="39"/>
      <c r="AE553" s="39"/>
      <c r="AK553" s="39"/>
      <c r="AL553" s="39"/>
      <c r="AM553" s="39"/>
      <c r="AS553" s="39"/>
      <c r="AT553" s="39"/>
      <c r="AU553" s="39"/>
      <c r="AZ553" s="40"/>
      <c r="BA553" s="39"/>
      <c r="BB553" s="39"/>
      <c r="BC553" s="39"/>
      <c r="BI553" s="39"/>
      <c r="BJ553" s="39"/>
      <c r="BK553" s="39"/>
      <c r="BQ553" s="39"/>
      <c r="BR553" s="39"/>
      <c r="BS553" s="39"/>
      <c r="BY553" s="39"/>
      <c r="BZ553" s="39"/>
      <c r="CA553" s="39"/>
      <c r="CG553" s="39"/>
      <c r="CH553" s="39"/>
      <c r="CI553" s="39"/>
    </row>
    <row r="554" spans="2:87" ht="15.75" customHeight="1">
      <c r="B554" s="2"/>
      <c r="C554" s="10"/>
      <c r="F554" s="39"/>
      <c r="G554" s="39"/>
      <c r="H554" s="39"/>
      <c r="I554" s="39"/>
      <c r="M554" s="39"/>
      <c r="N554" s="39"/>
      <c r="O554" s="39"/>
      <c r="U554" s="39"/>
      <c r="V554" s="39"/>
      <c r="W554" s="39"/>
      <c r="AC554" s="39"/>
      <c r="AD554" s="39"/>
      <c r="AE554" s="39"/>
      <c r="AK554" s="39"/>
      <c r="AL554" s="39"/>
      <c r="AM554" s="39"/>
      <c r="AS554" s="39"/>
      <c r="AT554" s="39"/>
      <c r="AU554" s="39"/>
      <c r="AZ554" s="40"/>
      <c r="BA554" s="39"/>
      <c r="BB554" s="39"/>
      <c r="BC554" s="39"/>
      <c r="BI554" s="39"/>
      <c r="BJ554" s="39"/>
      <c r="BK554" s="39"/>
      <c r="BQ554" s="39"/>
      <c r="BR554" s="39"/>
      <c r="BS554" s="39"/>
      <c r="BY554" s="39"/>
      <c r="BZ554" s="39"/>
      <c r="CA554" s="39"/>
      <c r="CG554" s="39"/>
      <c r="CH554" s="39"/>
      <c r="CI554" s="39"/>
    </row>
    <row r="555" spans="2:87" ht="15.75" customHeight="1">
      <c r="B555" s="2"/>
      <c r="C555" s="10"/>
      <c r="F555" s="39"/>
      <c r="G555" s="39"/>
      <c r="H555" s="39"/>
      <c r="I555" s="39"/>
      <c r="M555" s="39"/>
      <c r="N555" s="39"/>
      <c r="O555" s="39"/>
      <c r="U555" s="39"/>
      <c r="V555" s="39"/>
      <c r="W555" s="39"/>
      <c r="AC555" s="39"/>
      <c r="AD555" s="39"/>
      <c r="AE555" s="39"/>
      <c r="AK555" s="39"/>
      <c r="AL555" s="39"/>
      <c r="AM555" s="39"/>
      <c r="AS555" s="39"/>
      <c r="AT555" s="39"/>
      <c r="AU555" s="39"/>
      <c r="AZ555" s="40"/>
      <c r="BA555" s="39"/>
      <c r="BB555" s="39"/>
      <c r="BC555" s="39"/>
      <c r="BI555" s="39"/>
      <c r="BJ555" s="39"/>
      <c r="BK555" s="39"/>
      <c r="BQ555" s="39"/>
      <c r="BR555" s="39"/>
      <c r="BS555" s="39"/>
      <c r="BY555" s="39"/>
      <c r="BZ555" s="39"/>
      <c r="CA555" s="39"/>
      <c r="CG555" s="39"/>
      <c r="CH555" s="39"/>
      <c r="CI555" s="39"/>
    </row>
    <row r="556" spans="2:87" ht="15.75" customHeight="1">
      <c r="B556" s="2"/>
      <c r="C556" s="10"/>
      <c r="F556" s="39"/>
      <c r="G556" s="39"/>
      <c r="H556" s="39"/>
      <c r="I556" s="39"/>
      <c r="M556" s="39"/>
      <c r="N556" s="39"/>
      <c r="O556" s="39"/>
      <c r="U556" s="39"/>
      <c r="V556" s="39"/>
      <c r="W556" s="39"/>
      <c r="AC556" s="39"/>
      <c r="AD556" s="39"/>
      <c r="AE556" s="39"/>
      <c r="AK556" s="39"/>
      <c r="AL556" s="39"/>
      <c r="AM556" s="39"/>
      <c r="AS556" s="39"/>
      <c r="AT556" s="39"/>
      <c r="AU556" s="39"/>
      <c r="AZ556" s="40"/>
      <c r="BA556" s="39"/>
      <c r="BB556" s="39"/>
      <c r="BC556" s="39"/>
      <c r="BI556" s="39"/>
      <c r="BJ556" s="39"/>
      <c r="BK556" s="39"/>
      <c r="BQ556" s="39"/>
      <c r="BR556" s="39"/>
      <c r="BS556" s="39"/>
      <c r="BY556" s="39"/>
      <c r="BZ556" s="39"/>
      <c r="CA556" s="39"/>
      <c r="CG556" s="39"/>
      <c r="CH556" s="39"/>
      <c r="CI556" s="39"/>
    </row>
    <row r="557" spans="2:87" ht="15.75" customHeight="1">
      <c r="B557" s="2"/>
      <c r="C557" s="10"/>
      <c r="F557" s="39"/>
      <c r="G557" s="39"/>
      <c r="H557" s="39"/>
      <c r="I557" s="39"/>
      <c r="M557" s="39"/>
      <c r="N557" s="39"/>
      <c r="O557" s="39"/>
      <c r="U557" s="39"/>
      <c r="V557" s="39"/>
      <c r="W557" s="39"/>
      <c r="AC557" s="39"/>
      <c r="AD557" s="39"/>
      <c r="AE557" s="39"/>
      <c r="AK557" s="39"/>
      <c r="AL557" s="39"/>
      <c r="AM557" s="39"/>
      <c r="AS557" s="39"/>
      <c r="AT557" s="39"/>
      <c r="AU557" s="39"/>
      <c r="AZ557" s="40"/>
      <c r="BA557" s="39"/>
      <c r="BB557" s="39"/>
      <c r="BC557" s="39"/>
      <c r="BI557" s="39"/>
      <c r="BJ557" s="39"/>
      <c r="BK557" s="39"/>
      <c r="BQ557" s="39"/>
      <c r="BR557" s="39"/>
      <c r="BS557" s="39"/>
      <c r="BY557" s="39"/>
      <c r="BZ557" s="39"/>
      <c r="CA557" s="39"/>
      <c r="CG557" s="39"/>
      <c r="CH557" s="39"/>
      <c r="CI557" s="39"/>
    </row>
    <row r="558" spans="2:87" ht="15.75" customHeight="1">
      <c r="B558" s="2"/>
      <c r="C558" s="10"/>
      <c r="F558" s="39"/>
      <c r="G558" s="39"/>
      <c r="H558" s="39"/>
      <c r="I558" s="39"/>
      <c r="M558" s="39"/>
      <c r="N558" s="39"/>
      <c r="O558" s="39"/>
      <c r="U558" s="39"/>
      <c r="V558" s="39"/>
      <c r="W558" s="39"/>
      <c r="AC558" s="39"/>
      <c r="AD558" s="39"/>
      <c r="AE558" s="39"/>
      <c r="AK558" s="39"/>
      <c r="AL558" s="39"/>
      <c r="AM558" s="39"/>
      <c r="AS558" s="39"/>
      <c r="AT558" s="39"/>
      <c r="AU558" s="39"/>
      <c r="AZ558" s="40"/>
      <c r="BA558" s="39"/>
      <c r="BB558" s="39"/>
      <c r="BC558" s="39"/>
      <c r="BI558" s="39"/>
      <c r="BJ558" s="39"/>
      <c r="BK558" s="39"/>
      <c r="BQ558" s="39"/>
      <c r="BR558" s="39"/>
      <c r="BS558" s="39"/>
      <c r="BY558" s="39"/>
      <c r="BZ558" s="39"/>
      <c r="CA558" s="39"/>
      <c r="CG558" s="39"/>
      <c r="CH558" s="39"/>
      <c r="CI558" s="39"/>
    </row>
    <row r="559" spans="2:87" ht="15.75" customHeight="1">
      <c r="B559" s="2"/>
      <c r="C559" s="10"/>
      <c r="F559" s="39"/>
      <c r="G559" s="39"/>
      <c r="H559" s="39"/>
      <c r="I559" s="39"/>
      <c r="M559" s="39"/>
      <c r="N559" s="39"/>
      <c r="O559" s="39"/>
      <c r="U559" s="39"/>
      <c r="V559" s="39"/>
      <c r="W559" s="39"/>
      <c r="AC559" s="39"/>
      <c r="AD559" s="39"/>
      <c r="AE559" s="39"/>
      <c r="AK559" s="39"/>
      <c r="AL559" s="39"/>
      <c r="AM559" s="39"/>
      <c r="AS559" s="39"/>
      <c r="AT559" s="39"/>
      <c r="AU559" s="39"/>
      <c r="AZ559" s="40"/>
      <c r="BA559" s="39"/>
      <c r="BB559" s="39"/>
      <c r="BC559" s="39"/>
      <c r="BI559" s="39"/>
      <c r="BJ559" s="39"/>
      <c r="BK559" s="39"/>
      <c r="BQ559" s="39"/>
      <c r="BR559" s="39"/>
      <c r="BS559" s="39"/>
      <c r="BY559" s="39"/>
      <c r="BZ559" s="39"/>
      <c r="CA559" s="39"/>
      <c r="CG559" s="39"/>
      <c r="CH559" s="39"/>
      <c r="CI559" s="39"/>
    </row>
    <row r="560" spans="2:87" ht="15.75" customHeight="1">
      <c r="B560" s="2"/>
      <c r="C560" s="10"/>
      <c r="F560" s="39"/>
      <c r="G560" s="39"/>
      <c r="H560" s="39"/>
      <c r="I560" s="39"/>
      <c r="M560" s="39"/>
      <c r="N560" s="39"/>
      <c r="O560" s="39"/>
      <c r="U560" s="39"/>
      <c r="V560" s="39"/>
      <c r="W560" s="39"/>
      <c r="AC560" s="39"/>
      <c r="AD560" s="39"/>
      <c r="AE560" s="39"/>
      <c r="AK560" s="39"/>
      <c r="AL560" s="39"/>
      <c r="AM560" s="39"/>
      <c r="AS560" s="39"/>
      <c r="AT560" s="39"/>
      <c r="AU560" s="39"/>
      <c r="AZ560" s="40"/>
      <c r="BA560" s="39"/>
      <c r="BB560" s="39"/>
      <c r="BC560" s="39"/>
      <c r="BI560" s="39"/>
      <c r="BJ560" s="39"/>
      <c r="BK560" s="39"/>
      <c r="BQ560" s="39"/>
      <c r="BR560" s="39"/>
      <c r="BS560" s="39"/>
      <c r="BY560" s="39"/>
      <c r="BZ560" s="39"/>
      <c r="CA560" s="39"/>
      <c r="CG560" s="39"/>
      <c r="CH560" s="39"/>
      <c r="CI560" s="39"/>
    </row>
    <row r="561" spans="2:87" ht="15.75" customHeight="1">
      <c r="B561" s="2"/>
      <c r="C561" s="10"/>
      <c r="F561" s="39"/>
      <c r="G561" s="39"/>
      <c r="H561" s="39"/>
      <c r="I561" s="39"/>
      <c r="M561" s="39"/>
      <c r="N561" s="39"/>
      <c r="O561" s="39"/>
      <c r="U561" s="39"/>
      <c r="V561" s="39"/>
      <c r="W561" s="39"/>
      <c r="AC561" s="39"/>
      <c r="AD561" s="39"/>
      <c r="AE561" s="39"/>
      <c r="AK561" s="39"/>
      <c r="AL561" s="39"/>
      <c r="AM561" s="39"/>
      <c r="AS561" s="39"/>
      <c r="AT561" s="39"/>
      <c r="AU561" s="39"/>
      <c r="AZ561" s="40"/>
      <c r="BA561" s="39"/>
      <c r="BB561" s="39"/>
      <c r="BC561" s="39"/>
      <c r="BI561" s="39"/>
      <c r="BJ561" s="39"/>
      <c r="BK561" s="39"/>
      <c r="BQ561" s="39"/>
      <c r="BR561" s="39"/>
      <c r="BS561" s="39"/>
      <c r="BY561" s="39"/>
      <c r="BZ561" s="39"/>
      <c r="CA561" s="39"/>
      <c r="CG561" s="39"/>
      <c r="CH561" s="39"/>
      <c r="CI561" s="39"/>
    </row>
    <row r="562" spans="2:87" ht="15.75" customHeight="1">
      <c r="B562" s="2"/>
      <c r="C562" s="10"/>
      <c r="F562" s="39"/>
      <c r="G562" s="39"/>
      <c r="H562" s="39"/>
      <c r="I562" s="39"/>
      <c r="M562" s="39"/>
      <c r="N562" s="39"/>
      <c r="O562" s="39"/>
      <c r="U562" s="39"/>
      <c r="V562" s="39"/>
      <c r="W562" s="39"/>
      <c r="AC562" s="39"/>
      <c r="AD562" s="39"/>
      <c r="AE562" s="39"/>
      <c r="AK562" s="39"/>
      <c r="AL562" s="39"/>
      <c r="AM562" s="39"/>
      <c r="AS562" s="39"/>
      <c r="AT562" s="39"/>
      <c r="AU562" s="39"/>
      <c r="AZ562" s="40"/>
      <c r="BA562" s="39"/>
      <c r="BB562" s="39"/>
      <c r="BC562" s="39"/>
      <c r="BI562" s="39"/>
      <c r="BJ562" s="39"/>
      <c r="BK562" s="39"/>
      <c r="BQ562" s="39"/>
      <c r="BR562" s="39"/>
      <c r="BS562" s="39"/>
      <c r="BY562" s="39"/>
      <c r="BZ562" s="39"/>
      <c r="CA562" s="39"/>
      <c r="CG562" s="39"/>
      <c r="CH562" s="39"/>
      <c r="CI562" s="39"/>
    </row>
    <row r="563" spans="2:87" ht="15.75" customHeight="1">
      <c r="B563" s="2"/>
      <c r="C563" s="10"/>
      <c r="F563" s="39"/>
      <c r="G563" s="39"/>
      <c r="H563" s="39"/>
      <c r="I563" s="39"/>
      <c r="M563" s="39"/>
      <c r="N563" s="39"/>
      <c r="O563" s="39"/>
      <c r="U563" s="39"/>
      <c r="V563" s="39"/>
      <c r="W563" s="39"/>
      <c r="AC563" s="39"/>
      <c r="AD563" s="39"/>
      <c r="AE563" s="39"/>
      <c r="AK563" s="39"/>
      <c r="AL563" s="39"/>
      <c r="AM563" s="39"/>
      <c r="AS563" s="39"/>
      <c r="AT563" s="39"/>
      <c r="AU563" s="39"/>
      <c r="AZ563" s="40"/>
      <c r="BA563" s="39"/>
      <c r="BB563" s="39"/>
      <c r="BC563" s="39"/>
      <c r="BI563" s="39"/>
      <c r="BJ563" s="39"/>
      <c r="BK563" s="39"/>
      <c r="BQ563" s="39"/>
      <c r="BR563" s="39"/>
      <c r="BS563" s="39"/>
      <c r="BY563" s="39"/>
      <c r="BZ563" s="39"/>
      <c r="CA563" s="39"/>
      <c r="CG563" s="39"/>
      <c r="CH563" s="39"/>
      <c r="CI563" s="39"/>
    </row>
    <row r="564" spans="2:87" ht="15.75" customHeight="1">
      <c r="B564" s="2"/>
      <c r="C564" s="10"/>
      <c r="F564" s="39"/>
      <c r="G564" s="39"/>
      <c r="H564" s="39"/>
      <c r="I564" s="39"/>
      <c r="M564" s="39"/>
      <c r="N564" s="39"/>
      <c r="O564" s="39"/>
      <c r="U564" s="39"/>
      <c r="V564" s="39"/>
      <c r="W564" s="39"/>
      <c r="AC564" s="39"/>
      <c r="AD564" s="39"/>
      <c r="AE564" s="39"/>
      <c r="AK564" s="39"/>
      <c r="AL564" s="39"/>
      <c r="AM564" s="39"/>
      <c r="AS564" s="39"/>
      <c r="AT564" s="39"/>
      <c r="AU564" s="39"/>
      <c r="AZ564" s="40"/>
      <c r="BA564" s="39"/>
      <c r="BB564" s="39"/>
      <c r="BC564" s="39"/>
      <c r="BI564" s="39"/>
      <c r="BJ564" s="39"/>
      <c r="BK564" s="39"/>
      <c r="BQ564" s="39"/>
      <c r="BR564" s="39"/>
      <c r="BS564" s="39"/>
      <c r="BY564" s="39"/>
      <c r="BZ564" s="39"/>
      <c r="CA564" s="39"/>
      <c r="CG564" s="39"/>
      <c r="CH564" s="39"/>
      <c r="CI564" s="39"/>
    </row>
    <row r="565" spans="2:87" ht="15.75" customHeight="1">
      <c r="B565" s="2"/>
      <c r="C565" s="10"/>
      <c r="F565" s="39"/>
      <c r="G565" s="39"/>
      <c r="H565" s="39"/>
      <c r="I565" s="39"/>
      <c r="M565" s="39"/>
      <c r="N565" s="39"/>
      <c r="O565" s="39"/>
      <c r="U565" s="39"/>
      <c r="V565" s="39"/>
      <c r="W565" s="39"/>
      <c r="AC565" s="39"/>
      <c r="AD565" s="39"/>
      <c r="AE565" s="39"/>
      <c r="AK565" s="39"/>
      <c r="AL565" s="39"/>
      <c r="AM565" s="39"/>
      <c r="AS565" s="39"/>
      <c r="AT565" s="39"/>
      <c r="AU565" s="39"/>
      <c r="AZ565" s="40"/>
      <c r="BA565" s="39"/>
      <c r="BB565" s="39"/>
      <c r="BC565" s="39"/>
      <c r="BI565" s="39"/>
      <c r="BJ565" s="39"/>
      <c r="BK565" s="39"/>
      <c r="BQ565" s="39"/>
      <c r="BR565" s="39"/>
      <c r="BS565" s="39"/>
      <c r="BY565" s="39"/>
      <c r="BZ565" s="39"/>
      <c r="CA565" s="39"/>
      <c r="CG565" s="39"/>
      <c r="CH565" s="39"/>
      <c r="CI565" s="39"/>
    </row>
    <row r="566" spans="2:87" ht="15.75" customHeight="1">
      <c r="B566" s="2"/>
      <c r="C566" s="10"/>
      <c r="F566" s="39"/>
      <c r="G566" s="39"/>
      <c r="H566" s="39"/>
      <c r="I566" s="39"/>
      <c r="M566" s="39"/>
      <c r="N566" s="39"/>
      <c r="O566" s="39"/>
      <c r="U566" s="39"/>
      <c r="V566" s="39"/>
      <c r="W566" s="39"/>
      <c r="AC566" s="39"/>
      <c r="AD566" s="39"/>
      <c r="AE566" s="39"/>
      <c r="AK566" s="39"/>
      <c r="AL566" s="39"/>
      <c r="AM566" s="39"/>
      <c r="AS566" s="39"/>
      <c r="AT566" s="39"/>
      <c r="AU566" s="39"/>
      <c r="AZ566" s="40"/>
      <c r="BA566" s="39"/>
      <c r="BB566" s="39"/>
      <c r="BC566" s="39"/>
      <c r="BI566" s="39"/>
      <c r="BJ566" s="39"/>
      <c r="BK566" s="39"/>
      <c r="BQ566" s="39"/>
      <c r="BR566" s="39"/>
      <c r="BS566" s="39"/>
      <c r="BY566" s="39"/>
      <c r="BZ566" s="39"/>
      <c r="CA566" s="39"/>
      <c r="CG566" s="39"/>
      <c r="CH566" s="39"/>
      <c r="CI566" s="39"/>
    </row>
    <row r="567" spans="2:87" ht="15.75" customHeight="1">
      <c r="B567" s="2"/>
      <c r="C567" s="10"/>
      <c r="F567" s="39"/>
      <c r="G567" s="39"/>
      <c r="H567" s="39"/>
      <c r="I567" s="39"/>
      <c r="M567" s="39"/>
      <c r="N567" s="39"/>
      <c r="O567" s="39"/>
      <c r="U567" s="39"/>
      <c r="V567" s="39"/>
      <c r="W567" s="39"/>
      <c r="AC567" s="39"/>
      <c r="AD567" s="39"/>
      <c r="AE567" s="39"/>
      <c r="AK567" s="39"/>
      <c r="AL567" s="39"/>
      <c r="AM567" s="39"/>
      <c r="AS567" s="39"/>
      <c r="AT567" s="39"/>
      <c r="AU567" s="39"/>
      <c r="AZ567" s="40"/>
      <c r="BA567" s="39"/>
      <c r="BB567" s="39"/>
      <c r="BC567" s="39"/>
      <c r="BI567" s="39"/>
      <c r="BJ567" s="39"/>
      <c r="BK567" s="39"/>
      <c r="BQ567" s="39"/>
      <c r="BR567" s="39"/>
      <c r="BS567" s="39"/>
      <c r="BY567" s="39"/>
      <c r="BZ567" s="39"/>
      <c r="CA567" s="39"/>
      <c r="CG567" s="39"/>
      <c r="CH567" s="39"/>
      <c r="CI567" s="39"/>
    </row>
    <row r="568" spans="2:87" ht="15.75" customHeight="1">
      <c r="B568" s="2"/>
      <c r="C568" s="10"/>
      <c r="F568" s="39"/>
      <c r="G568" s="39"/>
      <c r="H568" s="39"/>
      <c r="I568" s="39"/>
      <c r="M568" s="39"/>
      <c r="N568" s="39"/>
      <c r="O568" s="39"/>
      <c r="U568" s="39"/>
      <c r="V568" s="39"/>
      <c r="W568" s="39"/>
      <c r="AC568" s="39"/>
      <c r="AD568" s="39"/>
      <c r="AE568" s="39"/>
      <c r="AK568" s="39"/>
      <c r="AL568" s="39"/>
      <c r="AM568" s="39"/>
      <c r="AS568" s="39"/>
      <c r="AT568" s="39"/>
      <c r="AU568" s="39"/>
      <c r="AZ568" s="40"/>
      <c r="BA568" s="39"/>
      <c r="BB568" s="39"/>
      <c r="BC568" s="39"/>
      <c r="BI568" s="39"/>
      <c r="BJ568" s="39"/>
      <c r="BK568" s="39"/>
      <c r="BQ568" s="39"/>
      <c r="BR568" s="39"/>
      <c r="BS568" s="39"/>
      <c r="BY568" s="39"/>
      <c r="BZ568" s="39"/>
      <c r="CA568" s="39"/>
      <c r="CG568" s="39"/>
      <c r="CH568" s="39"/>
      <c r="CI568" s="39"/>
    </row>
    <row r="569" spans="2:87" ht="15.75" customHeight="1">
      <c r="B569" s="2"/>
      <c r="C569" s="10"/>
      <c r="F569" s="39"/>
      <c r="G569" s="39"/>
      <c r="H569" s="39"/>
      <c r="I569" s="39"/>
      <c r="M569" s="39"/>
      <c r="N569" s="39"/>
      <c r="O569" s="39"/>
      <c r="U569" s="39"/>
      <c r="V569" s="39"/>
      <c r="W569" s="39"/>
      <c r="AC569" s="39"/>
      <c r="AD569" s="39"/>
      <c r="AE569" s="39"/>
      <c r="AK569" s="39"/>
      <c r="AL569" s="39"/>
      <c r="AM569" s="39"/>
      <c r="AS569" s="39"/>
      <c r="AT569" s="39"/>
      <c r="AU569" s="39"/>
      <c r="AZ569" s="40"/>
      <c r="BA569" s="39"/>
      <c r="BB569" s="39"/>
      <c r="BC569" s="39"/>
      <c r="BI569" s="39"/>
      <c r="BJ569" s="39"/>
      <c r="BK569" s="39"/>
      <c r="BQ569" s="39"/>
      <c r="BR569" s="39"/>
      <c r="BS569" s="39"/>
      <c r="BY569" s="39"/>
      <c r="BZ569" s="39"/>
      <c r="CA569" s="39"/>
      <c r="CG569" s="39"/>
      <c r="CH569" s="39"/>
      <c r="CI569" s="39"/>
    </row>
    <row r="570" spans="2:87" ht="15.75" customHeight="1">
      <c r="B570" s="2"/>
      <c r="C570" s="10"/>
      <c r="F570" s="39"/>
      <c r="G570" s="39"/>
      <c r="H570" s="39"/>
      <c r="I570" s="39"/>
      <c r="M570" s="39"/>
      <c r="N570" s="39"/>
      <c r="O570" s="39"/>
      <c r="U570" s="39"/>
      <c r="V570" s="39"/>
      <c r="W570" s="39"/>
      <c r="AC570" s="39"/>
      <c r="AD570" s="39"/>
      <c r="AE570" s="39"/>
      <c r="AK570" s="39"/>
      <c r="AL570" s="39"/>
      <c r="AM570" s="39"/>
      <c r="AS570" s="39"/>
      <c r="AT570" s="39"/>
      <c r="AU570" s="39"/>
      <c r="AZ570" s="40"/>
      <c r="BA570" s="39"/>
      <c r="BB570" s="39"/>
      <c r="BC570" s="39"/>
      <c r="BI570" s="39"/>
      <c r="BJ570" s="39"/>
      <c r="BK570" s="39"/>
      <c r="BQ570" s="39"/>
      <c r="BR570" s="39"/>
      <c r="BS570" s="39"/>
      <c r="BY570" s="39"/>
      <c r="BZ570" s="39"/>
      <c r="CA570" s="39"/>
      <c r="CG570" s="39"/>
      <c r="CH570" s="39"/>
      <c r="CI570" s="39"/>
    </row>
    <row r="571" spans="2:87" ht="15.75" customHeight="1">
      <c r="B571" s="2"/>
      <c r="C571" s="10"/>
      <c r="F571" s="39"/>
      <c r="G571" s="39"/>
      <c r="H571" s="39"/>
      <c r="I571" s="39"/>
      <c r="M571" s="39"/>
      <c r="N571" s="39"/>
      <c r="O571" s="39"/>
      <c r="U571" s="39"/>
      <c r="V571" s="39"/>
      <c r="W571" s="39"/>
      <c r="AC571" s="39"/>
      <c r="AD571" s="39"/>
      <c r="AE571" s="39"/>
      <c r="AK571" s="39"/>
      <c r="AL571" s="39"/>
      <c r="AM571" s="39"/>
      <c r="AS571" s="39"/>
      <c r="AT571" s="39"/>
      <c r="AU571" s="39"/>
      <c r="AZ571" s="40"/>
      <c r="BA571" s="39"/>
      <c r="BB571" s="39"/>
      <c r="BC571" s="39"/>
      <c r="BI571" s="39"/>
      <c r="BJ571" s="39"/>
      <c r="BK571" s="39"/>
      <c r="BQ571" s="39"/>
      <c r="BR571" s="39"/>
      <c r="BS571" s="39"/>
      <c r="BY571" s="39"/>
      <c r="BZ571" s="39"/>
      <c r="CA571" s="39"/>
      <c r="CG571" s="39"/>
      <c r="CH571" s="39"/>
      <c r="CI571" s="39"/>
    </row>
    <row r="572" spans="2:87" ht="15.75" customHeight="1">
      <c r="B572" s="2"/>
      <c r="C572" s="10"/>
      <c r="F572" s="39"/>
      <c r="G572" s="39"/>
      <c r="H572" s="39"/>
      <c r="I572" s="39"/>
      <c r="M572" s="39"/>
      <c r="N572" s="39"/>
      <c r="O572" s="39"/>
      <c r="U572" s="39"/>
      <c r="V572" s="39"/>
      <c r="W572" s="39"/>
      <c r="AC572" s="39"/>
      <c r="AD572" s="39"/>
      <c r="AE572" s="39"/>
      <c r="AK572" s="39"/>
      <c r="AL572" s="39"/>
      <c r="AM572" s="39"/>
      <c r="AS572" s="39"/>
      <c r="AT572" s="39"/>
      <c r="AU572" s="39"/>
      <c r="AZ572" s="40"/>
      <c r="BA572" s="39"/>
      <c r="BB572" s="39"/>
      <c r="BC572" s="39"/>
      <c r="BI572" s="39"/>
      <c r="BJ572" s="39"/>
      <c r="BK572" s="39"/>
      <c r="BQ572" s="39"/>
      <c r="BR572" s="39"/>
      <c r="BS572" s="39"/>
      <c r="BY572" s="39"/>
      <c r="BZ572" s="39"/>
      <c r="CA572" s="39"/>
      <c r="CG572" s="39"/>
      <c r="CH572" s="39"/>
      <c r="CI572" s="39"/>
    </row>
    <row r="573" spans="2:87" ht="15.75" customHeight="1">
      <c r="B573" s="2"/>
      <c r="C573" s="10"/>
      <c r="F573" s="39"/>
      <c r="G573" s="39"/>
      <c r="H573" s="39"/>
      <c r="I573" s="39"/>
      <c r="M573" s="39"/>
      <c r="N573" s="39"/>
      <c r="O573" s="39"/>
      <c r="U573" s="39"/>
      <c r="V573" s="39"/>
      <c r="W573" s="39"/>
      <c r="AC573" s="39"/>
      <c r="AD573" s="39"/>
      <c r="AE573" s="39"/>
      <c r="AK573" s="39"/>
      <c r="AL573" s="39"/>
      <c r="AM573" s="39"/>
      <c r="AS573" s="39"/>
      <c r="AT573" s="39"/>
      <c r="AU573" s="39"/>
      <c r="AZ573" s="40"/>
      <c r="BA573" s="39"/>
      <c r="BB573" s="39"/>
      <c r="BC573" s="39"/>
      <c r="BI573" s="39"/>
      <c r="BJ573" s="39"/>
      <c r="BK573" s="39"/>
      <c r="BQ573" s="39"/>
      <c r="BR573" s="39"/>
      <c r="BS573" s="39"/>
      <c r="BY573" s="39"/>
      <c r="BZ573" s="39"/>
      <c r="CA573" s="39"/>
      <c r="CG573" s="39"/>
      <c r="CH573" s="39"/>
      <c r="CI573" s="39"/>
    </row>
    <row r="574" spans="2:87" ht="15.75" customHeight="1">
      <c r="B574" s="2"/>
      <c r="C574" s="10"/>
      <c r="F574" s="39"/>
      <c r="G574" s="39"/>
      <c r="H574" s="39"/>
      <c r="I574" s="39"/>
      <c r="M574" s="39"/>
      <c r="N574" s="39"/>
      <c r="O574" s="39"/>
      <c r="U574" s="39"/>
      <c r="V574" s="39"/>
      <c r="W574" s="39"/>
      <c r="AC574" s="39"/>
      <c r="AD574" s="39"/>
      <c r="AE574" s="39"/>
      <c r="AK574" s="39"/>
      <c r="AL574" s="39"/>
      <c r="AM574" s="39"/>
      <c r="AS574" s="39"/>
      <c r="AT574" s="39"/>
      <c r="AU574" s="39"/>
      <c r="AZ574" s="40"/>
      <c r="BA574" s="39"/>
      <c r="BB574" s="39"/>
      <c r="BC574" s="39"/>
      <c r="BI574" s="39"/>
      <c r="BJ574" s="39"/>
      <c r="BK574" s="39"/>
      <c r="BQ574" s="39"/>
      <c r="BR574" s="39"/>
      <c r="BS574" s="39"/>
      <c r="BY574" s="39"/>
      <c r="BZ574" s="39"/>
      <c r="CA574" s="39"/>
      <c r="CG574" s="39"/>
      <c r="CH574" s="39"/>
      <c r="CI574" s="39"/>
    </row>
    <row r="575" spans="2:87" ht="15.75" customHeight="1">
      <c r="B575" s="2"/>
      <c r="C575" s="10"/>
      <c r="F575" s="39"/>
      <c r="G575" s="39"/>
      <c r="H575" s="39"/>
      <c r="I575" s="39"/>
      <c r="M575" s="39"/>
      <c r="N575" s="39"/>
      <c r="O575" s="39"/>
      <c r="U575" s="39"/>
      <c r="V575" s="39"/>
      <c r="W575" s="39"/>
      <c r="AC575" s="39"/>
      <c r="AD575" s="39"/>
      <c r="AE575" s="39"/>
      <c r="AK575" s="39"/>
      <c r="AL575" s="39"/>
      <c r="AM575" s="39"/>
      <c r="AS575" s="39"/>
      <c r="AT575" s="39"/>
      <c r="AU575" s="39"/>
      <c r="AZ575" s="40"/>
      <c r="BA575" s="39"/>
      <c r="BB575" s="39"/>
      <c r="BC575" s="39"/>
      <c r="BI575" s="39"/>
      <c r="BJ575" s="39"/>
      <c r="BK575" s="39"/>
      <c r="BQ575" s="39"/>
      <c r="BR575" s="39"/>
      <c r="BS575" s="39"/>
      <c r="BY575" s="39"/>
      <c r="BZ575" s="39"/>
      <c r="CA575" s="39"/>
      <c r="CG575" s="39"/>
      <c r="CH575" s="39"/>
      <c r="CI575" s="39"/>
    </row>
    <row r="576" spans="2:87" ht="15.75" customHeight="1">
      <c r="B576" s="2"/>
      <c r="C576" s="10"/>
      <c r="F576" s="39"/>
      <c r="G576" s="39"/>
      <c r="H576" s="39"/>
      <c r="I576" s="39"/>
      <c r="M576" s="39"/>
      <c r="N576" s="39"/>
      <c r="O576" s="39"/>
      <c r="U576" s="39"/>
      <c r="V576" s="39"/>
      <c r="W576" s="39"/>
      <c r="AC576" s="39"/>
      <c r="AD576" s="39"/>
      <c r="AE576" s="39"/>
      <c r="AK576" s="39"/>
      <c r="AL576" s="39"/>
      <c r="AM576" s="39"/>
      <c r="AS576" s="39"/>
      <c r="AT576" s="39"/>
      <c r="AU576" s="39"/>
      <c r="AZ576" s="40"/>
      <c r="BA576" s="39"/>
      <c r="BB576" s="39"/>
      <c r="BC576" s="39"/>
      <c r="BI576" s="39"/>
      <c r="BJ576" s="39"/>
      <c r="BK576" s="39"/>
      <c r="BQ576" s="39"/>
      <c r="BR576" s="39"/>
      <c r="BS576" s="39"/>
      <c r="BY576" s="39"/>
      <c r="BZ576" s="39"/>
      <c r="CA576" s="39"/>
      <c r="CG576" s="39"/>
      <c r="CH576" s="39"/>
      <c r="CI576" s="39"/>
    </row>
    <row r="577" spans="2:87" ht="15.75" customHeight="1">
      <c r="B577" s="2"/>
      <c r="C577" s="10"/>
      <c r="F577" s="39"/>
      <c r="G577" s="39"/>
      <c r="H577" s="39"/>
      <c r="I577" s="39"/>
      <c r="M577" s="39"/>
      <c r="N577" s="39"/>
      <c r="O577" s="39"/>
      <c r="U577" s="39"/>
      <c r="V577" s="39"/>
      <c r="W577" s="39"/>
      <c r="AC577" s="39"/>
      <c r="AD577" s="39"/>
      <c r="AE577" s="39"/>
      <c r="AK577" s="39"/>
      <c r="AL577" s="39"/>
      <c r="AM577" s="39"/>
      <c r="AS577" s="39"/>
      <c r="AT577" s="39"/>
      <c r="AU577" s="39"/>
      <c r="AZ577" s="40"/>
      <c r="BA577" s="39"/>
      <c r="BB577" s="39"/>
      <c r="BC577" s="39"/>
      <c r="BI577" s="39"/>
      <c r="BJ577" s="39"/>
      <c r="BK577" s="39"/>
      <c r="BQ577" s="39"/>
      <c r="BR577" s="39"/>
      <c r="BS577" s="39"/>
      <c r="BY577" s="39"/>
      <c r="BZ577" s="39"/>
      <c r="CA577" s="39"/>
      <c r="CG577" s="39"/>
      <c r="CH577" s="39"/>
      <c r="CI577" s="39"/>
    </row>
    <row r="578" spans="2:87" ht="15.75" customHeight="1">
      <c r="B578" s="2"/>
      <c r="C578" s="10"/>
      <c r="F578" s="39"/>
      <c r="G578" s="39"/>
      <c r="H578" s="39"/>
      <c r="I578" s="39"/>
      <c r="M578" s="39"/>
      <c r="N578" s="39"/>
      <c r="O578" s="39"/>
      <c r="U578" s="39"/>
      <c r="V578" s="39"/>
      <c r="W578" s="39"/>
      <c r="AC578" s="39"/>
      <c r="AD578" s="39"/>
      <c r="AE578" s="39"/>
      <c r="AK578" s="39"/>
      <c r="AL578" s="39"/>
      <c r="AM578" s="39"/>
      <c r="AS578" s="39"/>
      <c r="AT578" s="39"/>
      <c r="AU578" s="39"/>
      <c r="AZ578" s="40"/>
      <c r="BA578" s="39"/>
      <c r="BB578" s="39"/>
      <c r="BC578" s="39"/>
      <c r="BI578" s="39"/>
      <c r="BJ578" s="39"/>
      <c r="BK578" s="39"/>
      <c r="BQ578" s="39"/>
      <c r="BR578" s="39"/>
      <c r="BS578" s="39"/>
      <c r="BY578" s="39"/>
      <c r="BZ578" s="39"/>
      <c r="CA578" s="39"/>
      <c r="CG578" s="39"/>
      <c r="CH578" s="39"/>
      <c r="CI578" s="39"/>
    </row>
    <row r="579" spans="2:87" ht="15.75" customHeight="1">
      <c r="B579" s="2"/>
      <c r="C579" s="10"/>
      <c r="F579" s="39"/>
      <c r="G579" s="39"/>
      <c r="H579" s="39"/>
      <c r="I579" s="39"/>
      <c r="M579" s="39"/>
      <c r="N579" s="39"/>
      <c r="O579" s="39"/>
      <c r="U579" s="39"/>
      <c r="V579" s="39"/>
      <c r="W579" s="39"/>
      <c r="AC579" s="39"/>
      <c r="AD579" s="39"/>
      <c r="AE579" s="39"/>
      <c r="AK579" s="39"/>
      <c r="AL579" s="39"/>
      <c r="AM579" s="39"/>
      <c r="AS579" s="39"/>
      <c r="AT579" s="39"/>
      <c r="AU579" s="39"/>
      <c r="AZ579" s="40"/>
      <c r="BA579" s="39"/>
      <c r="BB579" s="39"/>
      <c r="BC579" s="39"/>
      <c r="BI579" s="39"/>
      <c r="BJ579" s="39"/>
      <c r="BK579" s="39"/>
      <c r="BQ579" s="39"/>
      <c r="BR579" s="39"/>
      <c r="BS579" s="39"/>
      <c r="BY579" s="39"/>
      <c r="BZ579" s="39"/>
      <c r="CA579" s="39"/>
      <c r="CG579" s="39"/>
      <c r="CH579" s="39"/>
      <c r="CI579" s="39"/>
    </row>
    <row r="580" spans="2:87" ht="15.75" customHeight="1">
      <c r="B580" s="2"/>
      <c r="C580" s="10"/>
      <c r="F580" s="39"/>
      <c r="G580" s="39"/>
      <c r="H580" s="39"/>
      <c r="I580" s="39"/>
      <c r="M580" s="39"/>
      <c r="N580" s="39"/>
      <c r="O580" s="39"/>
      <c r="U580" s="39"/>
      <c r="V580" s="39"/>
      <c r="W580" s="39"/>
      <c r="AC580" s="39"/>
      <c r="AD580" s="39"/>
      <c r="AE580" s="39"/>
      <c r="AK580" s="39"/>
      <c r="AL580" s="39"/>
      <c r="AM580" s="39"/>
      <c r="AS580" s="39"/>
      <c r="AT580" s="39"/>
      <c r="AU580" s="39"/>
      <c r="AZ580" s="40"/>
      <c r="BA580" s="39"/>
      <c r="BB580" s="39"/>
      <c r="BC580" s="39"/>
      <c r="BI580" s="39"/>
      <c r="BJ580" s="39"/>
      <c r="BK580" s="39"/>
      <c r="BQ580" s="39"/>
      <c r="BR580" s="39"/>
      <c r="BS580" s="39"/>
      <c r="BY580" s="39"/>
      <c r="BZ580" s="39"/>
      <c r="CA580" s="39"/>
      <c r="CG580" s="39"/>
      <c r="CH580" s="39"/>
      <c r="CI580" s="39"/>
    </row>
    <row r="581" spans="2:87" ht="15.75" customHeight="1">
      <c r="B581" s="2"/>
      <c r="C581" s="10"/>
      <c r="F581" s="39"/>
      <c r="G581" s="39"/>
      <c r="H581" s="39"/>
      <c r="I581" s="39"/>
      <c r="M581" s="39"/>
      <c r="N581" s="39"/>
      <c r="O581" s="39"/>
      <c r="U581" s="39"/>
      <c r="V581" s="39"/>
      <c r="W581" s="39"/>
      <c r="AC581" s="39"/>
      <c r="AD581" s="39"/>
      <c r="AE581" s="39"/>
      <c r="AK581" s="39"/>
      <c r="AL581" s="39"/>
      <c r="AM581" s="39"/>
      <c r="AS581" s="39"/>
      <c r="AT581" s="39"/>
      <c r="AU581" s="39"/>
      <c r="AZ581" s="40"/>
      <c r="BA581" s="39"/>
      <c r="BB581" s="39"/>
      <c r="BC581" s="39"/>
      <c r="BI581" s="39"/>
      <c r="BJ581" s="39"/>
      <c r="BK581" s="39"/>
      <c r="BQ581" s="39"/>
      <c r="BR581" s="39"/>
      <c r="BS581" s="39"/>
      <c r="BY581" s="39"/>
      <c r="BZ581" s="39"/>
      <c r="CA581" s="39"/>
      <c r="CG581" s="39"/>
      <c r="CH581" s="39"/>
      <c r="CI581" s="39"/>
    </row>
    <row r="582" spans="2:87" ht="15.75" customHeight="1">
      <c r="B582" s="2"/>
      <c r="C582" s="10"/>
      <c r="F582" s="39"/>
      <c r="G582" s="39"/>
      <c r="H582" s="39"/>
      <c r="I582" s="39"/>
      <c r="M582" s="39"/>
      <c r="N582" s="39"/>
      <c r="O582" s="39"/>
      <c r="U582" s="39"/>
      <c r="V582" s="39"/>
      <c r="W582" s="39"/>
      <c r="AC582" s="39"/>
      <c r="AD582" s="39"/>
      <c r="AE582" s="39"/>
      <c r="AK582" s="39"/>
      <c r="AL582" s="39"/>
      <c r="AM582" s="39"/>
      <c r="AS582" s="39"/>
      <c r="AT582" s="39"/>
      <c r="AU582" s="39"/>
      <c r="AZ582" s="40"/>
      <c r="BA582" s="39"/>
      <c r="BB582" s="39"/>
      <c r="BC582" s="39"/>
      <c r="BI582" s="39"/>
      <c r="BJ582" s="39"/>
      <c r="BK582" s="39"/>
      <c r="BQ582" s="39"/>
      <c r="BR582" s="39"/>
      <c r="BS582" s="39"/>
      <c r="BY582" s="39"/>
      <c r="BZ582" s="39"/>
      <c r="CA582" s="39"/>
      <c r="CG582" s="39"/>
      <c r="CH582" s="39"/>
      <c r="CI582" s="39"/>
    </row>
    <row r="583" spans="2:87" ht="15.75" customHeight="1">
      <c r="B583" s="2"/>
      <c r="C583" s="10"/>
      <c r="F583" s="39"/>
      <c r="G583" s="39"/>
      <c r="H583" s="39"/>
      <c r="I583" s="39"/>
      <c r="M583" s="39"/>
      <c r="N583" s="39"/>
      <c r="O583" s="39"/>
      <c r="U583" s="39"/>
      <c r="V583" s="39"/>
      <c r="W583" s="39"/>
      <c r="AC583" s="39"/>
      <c r="AD583" s="39"/>
      <c r="AE583" s="39"/>
      <c r="AK583" s="39"/>
      <c r="AL583" s="39"/>
      <c r="AM583" s="39"/>
      <c r="AS583" s="39"/>
      <c r="AT583" s="39"/>
      <c r="AU583" s="39"/>
      <c r="AZ583" s="40"/>
      <c r="BA583" s="39"/>
      <c r="BB583" s="39"/>
      <c r="BC583" s="39"/>
      <c r="BI583" s="39"/>
      <c r="BJ583" s="39"/>
      <c r="BK583" s="39"/>
      <c r="BQ583" s="39"/>
      <c r="BR583" s="39"/>
      <c r="BS583" s="39"/>
      <c r="BY583" s="39"/>
      <c r="BZ583" s="39"/>
      <c r="CA583" s="39"/>
      <c r="CG583" s="39"/>
      <c r="CH583" s="39"/>
      <c r="CI583" s="39"/>
    </row>
    <row r="584" spans="2:87" ht="15.75" customHeight="1">
      <c r="B584" s="2"/>
      <c r="C584" s="10"/>
      <c r="F584" s="39"/>
      <c r="G584" s="39"/>
      <c r="H584" s="39"/>
      <c r="I584" s="39"/>
      <c r="M584" s="39"/>
      <c r="N584" s="39"/>
      <c r="O584" s="39"/>
      <c r="U584" s="39"/>
      <c r="V584" s="39"/>
      <c r="W584" s="39"/>
      <c r="AC584" s="39"/>
      <c r="AD584" s="39"/>
      <c r="AE584" s="39"/>
      <c r="AK584" s="39"/>
      <c r="AL584" s="39"/>
      <c r="AM584" s="39"/>
      <c r="AS584" s="39"/>
      <c r="AT584" s="39"/>
      <c r="AU584" s="39"/>
      <c r="AZ584" s="40"/>
      <c r="BA584" s="39"/>
      <c r="BB584" s="39"/>
      <c r="BC584" s="39"/>
      <c r="BI584" s="39"/>
      <c r="BJ584" s="39"/>
      <c r="BK584" s="39"/>
      <c r="BQ584" s="39"/>
      <c r="BR584" s="39"/>
      <c r="BS584" s="39"/>
      <c r="BY584" s="39"/>
      <c r="BZ584" s="39"/>
      <c r="CA584" s="39"/>
      <c r="CG584" s="39"/>
      <c r="CH584" s="39"/>
      <c r="CI584" s="39"/>
    </row>
    <row r="585" spans="2:87" ht="15.75" customHeight="1">
      <c r="B585" s="2"/>
      <c r="C585" s="10"/>
      <c r="F585" s="39"/>
      <c r="G585" s="39"/>
      <c r="H585" s="39"/>
      <c r="I585" s="39"/>
      <c r="M585" s="39"/>
      <c r="N585" s="39"/>
      <c r="O585" s="39"/>
      <c r="U585" s="39"/>
      <c r="V585" s="39"/>
      <c r="W585" s="39"/>
      <c r="AC585" s="39"/>
      <c r="AD585" s="39"/>
      <c r="AE585" s="39"/>
      <c r="AK585" s="39"/>
      <c r="AL585" s="39"/>
      <c r="AM585" s="39"/>
      <c r="AS585" s="39"/>
      <c r="AT585" s="39"/>
      <c r="AU585" s="39"/>
      <c r="AZ585" s="40"/>
      <c r="BA585" s="39"/>
      <c r="BB585" s="39"/>
      <c r="BC585" s="39"/>
      <c r="BI585" s="39"/>
      <c r="BJ585" s="39"/>
      <c r="BK585" s="39"/>
      <c r="BQ585" s="39"/>
      <c r="BR585" s="39"/>
      <c r="BS585" s="39"/>
      <c r="BY585" s="39"/>
      <c r="BZ585" s="39"/>
      <c r="CA585" s="39"/>
      <c r="CG585" s="39"/>
      <c r="CH585" s="39"/>
      <c r="CI585" s="39"/>
    </row>
    <row r="586" spans="2:87" ht="15.75" customHeight="1">
      <c r="B586" s="2"/>
      <c r="C586" s="10"/>
      <c r="F586" s="39"/>
      <c r="G586" s="39"/>
      <c r="H586" s="39"/>
      <c r="I586" s="39"/>
      <c r="M586" s="39"/>
      <c r="N586" s="39"/>
      <c r="O586" s="39"/>
      <c r="U586" s="39"/>
      <c r="V586" s="39"/>
      <c r="W586" s="39"/>
      <c r="AC586" s="39"/>
      <c r="AD586" s="39"/>
      <c r="AE586" s="39"/>
      <c r="AK586" s="39"/>
      <c r="AL586" s="39"/>
      <c r="AM586" s="39"/>
      <c r="AS586" s="39"/>
      <c r="AT586" s="39"/>
      <c r="AU586" s="39"/>
      <c r="AZ586" s="40"/>
      <c r="BA586" s="39"/>
      <c r="BB586" s="39"/>
      <c r="BC586" s="39"/>
      <c r="BI586" s="39"/>
      <c r="BJ586" s="39"/>
      <c r="BK586" s="39"/>
      <c r="BQ586" s="39"/>
      <c r="BR586" s="39"/>
      <c r="BS586" s="39"/>
      <c r="BY586" s="39"/>
      <c r="BZ586" s="39"/>
      <c r="CA586" s="39"/>
      <c r="CG586" s="39"/>
      <c r="CH586" s="39"/>
      <c r="CI586" s="39"/>
    </row>
    <row r="587" spans="2:87" ht="15.75" customHeight="1">
      <c r="B587" s="2"/>
      <c r="C587" s="10"/>
      <c r="F587" s="39"/>
      <c r="G587" s="39"/>
      <c r="H587" s="39"/>
      <c r="I587" s="39"/>
      <c r="M587" s="39"/>
      <c r="N587" s="39"/>
      <c r="O587" s="39"/>
      <c r="U587" s="39"/>
      <c r="V587" s="39"/>
      <c r="W587" s="39"/>
      <c r="AC587" s="39"/>
      <c r="AD587" s="39"/>
      <c r="AE587" s="39"/>
      <c r="AK587" s="39"/>
      <c r="AL587" s="39"/>
      <c r="AM587" s="39"/>
      <c r="AS587" s="39"/>
      <c r="AT587" s="39"/>
      <c r="AU587" s="39"/>
      <c r="AZ587" s="40"/>
      <c r="BA587" s="39"/>
      <c r="BB587" s="39"/>
      <c r="BC587" s="39"/>
      <c r="BI587" s="39"/>
      <c r="BJ587" s="39"/>
      <c r="BK587" s="39"/>
      <c r="BQ587" s="39"/>
      <c r="BR587" s="39"/>
      <c r="BS587" s="39"/>
      <c r="BY587" s="39"/>
      <c r="BZ587" s="39"/>
      <c r="CA587" s="39"/>
      <c r="CG587" s="39"/>
      <c r="CH587" s="39"/>
      <c r="CI587" s="39"/>
    </row>
    <row r="588" spans="2:87" ht="15.75" customHeight="1">
      <c r="B588" s="2"/>
      <c r="C588" s="10"/>
      <c r="F588" s="39"/>
      <c r="G588" s="39"/>
      <c r="H588" s="39"/>
      <c r="I588" s="39"/>
      <c r="M588" s="39"/>
      <c r="N588" s="39"/>
      <c r="O588" s="39"/>
      <c r="U588" s="39"/>
      <c r="V588" s="39"/>
      <c r="W588" s="39"/>
      <c r="AC588" s="39"/>
      <c r="AD588" s="39"/>
      <c r="AE588" s="39"/>
      <c r="AK588" s="39"/>
      <c r="AL588" s="39"/>
      <c r="AM588" s="39"/>
      <c r="AS588" s="39"/>
      <c r="AT588" s="39"/>
      <c r="AU588" s="39"/>
      <c r="AZ588" s="40"/>
      <c r="BA588" s="39"/>
      <c r="BB588" s="39"/>
      <c r="BC588" s="39"/>
      <c r="BI588" s="39"/>
      <c r="BJ588" s="39"/>
      <c r="BK588" s="39"/>
      <c r="BQ588" s="39"/>
      <c r="BR588" s="39"/>
      <c r="BS588" s="39"/>
      <c r="BY588" s="39"/>
      <c r="BZ588" s="39"/>
      <c r="CA588" s="39"/>
      <c r="CG588" s="39"/>
      <c r="CH588" s="39"/>
      <c r="CI588" s="39"/>
    </row>
    <row r="589" spans="2:87" ht="15.75" customHeight="1">
      <c r="B589" s="2"/>
      <c r="C589" s="10"/>
      <c r="F589" s="39"/>
      <c r="G589" s="39"/>
      <c r="H589" s="39"/>
      <c r="I589" s="39"/>
      <c r="M589" s="39"/>
      <c r="N589" s="39"/>
      <c r="O589" s="39"/>
      <c r="U589" s="39"/>
      <c r="V589" s="39"/>
      <c r="W589" s="39"/>
      <c r="AC589" s="39"/>
      <c r="AD589" s="39"/>
      <c r="AE589" s="39"/>
      <c r="AK589" s="39"/>
      <c r="AL589" s="39"/>
      <c r="AM589" s="39"/>
      <c r="AS589" s="39"/>
      <c r="AT589" s="39"/>
      <c r="AU589" s="39"/>
      <c r="AZ589" s="40"/>
      <c r="BA589" s="39"/>
      <c r="BB589" s="39"/>
      <c r="BC589" s="39"/>
      <c r="BI589" s="39"/>
      <c r="BJ589" s="39"/>
      <c r="BK589" s="39"/>
      <c r="BQ589" s="39"/>
      <c r="BR589" s="39"/>
      <c r="BS589" s="39"/>
      <c r="BY589" s="39"/>
      <c r="BZ589" s="39"/>
      <c r="CA589" s="39"/>
      <c r="CG589" s="39"/>
      <c r="CH589" s="39"/>
      <c r="CI589" s="39"/>
    </row>
    <row r="590" spans="2:87" ht="15.75" customHeight="1">
      <c r="B590" s="2"/>
      <c r="C590" s="10"/>
      <c r="F590" s="39"/>
      <c r="G590" s="39"/>
      <c r="H590" s="39"/>
      <c r="I590" s="39"/>
      <c r="M590" s="39"/>
      <c r="N590" s="39"/>
      <c r="O590" s="39"/>
      <c r="U590" s="39"/>
      <c r="V590" s="39"/>
      <c r="W590" s="39"/>
      <c r="AC590" s="39"/>
      <c r="AD590" s="39"/>
      <c r="AE590" s="39"/>
      <c r="AK590" s="39"/>
      <c r="AL590" s="39"/>
      <c r="AM590" s="39"/>
      <c r="AS590" s="39"/>
      <c r="AT590" s="39"/>
      <c r="AU590" s="39"/>
      <c r="AZ590" s="40"/>
      <c r="BA590" s="39"/>
      <c r="BB590" s="39"/>
      <c r="BC590" s="39"/>
      <c r="BI590" s="39"/>
      <c r="BJ590" s="39"/>
      <c r="BK590" s="39"/>
      <c r="BQ590" s="39"/>
      <c r="BR590" s="39"/>
      <c r="BS590" s="39"/>
      <c r="BY590" s="39"/>
      <c r="BZ590" s="39"/>
      <c r="CA590" s="39"/>
      <c r="CG590" s="39"/>
      <c r="CH590" s="39"/>
      <c r="CI590" s="39"/>
    </row>
    <row r="591" spans="2:87" ht="15.75" customHeight="1">
      <c r="B591" s="2"/>
      <c r="C591" s="10"/>
      <c r="F591" s="39"/>
      <c r="G591" s="39"/>
      <c r="H591" s="39"/>
      <c r="I591" s="39"/>
      <c r="M591" s="39"/>
      <c r="N591" s="39"/>
      <c r="O591" s="39"/>
      <c r="U591" s="39"/>
      <c r="V591" s="39"/>
      <c r="W591" s="39"/>
      <c r="AC591" s="39"/>
      <c r="AD591" s="39"/>
      <c r="AE591" s="39"/>
      <c r="AK591" s="39"/>
      <c r="AL591" s="39"/>
      <c r="AM591" s="39"/>
      <c r="AS591" s="39"/>
      <c r="AT591" s="39"/>
      <c r="AU591" s="39"/>
      <c r="AZ591" s="40"/>
      <c r="BA591" s="39"/>
      <c r="BB591" s="39"/>
      <c r="BC591" s="39"/>
      <c r="BI591" s="39"/>
      <c r="BJ591" s="39"/>
      <c r="BK591" s="39"/>
      <c r="BQ591" s="39"/>
      <c r="BR591" s="39"/>
      <c r="BS591" s="39"/>
      <c r="BY591" s="39"/>
      <c r="BZ591" s="39"/>
      <c r="CA591" s="39"/>
      <c r="CG591" s="39"/>
      <c r="CH591" s="39"/>
      <c r="CI591" s="39"/>
    </row>
    <row r="592" spans="2:87" ht="15.75" customHeight="1">
      <c r="B592" s="2"/>
      <c r="C592" s="10"/>
      <c r="F592" s="39"/>
      <c r="G592" s="39"/>
      <c r="H592" s="39"/>
      <c r="I592" s="39"/>
      <c r="M592" s="39"/>
      <c r="N592" s="39"/>
      <c r="O592" s="39"/>
      <c r="U592" s="39"/>
      <c r="V592" s="39"/>
      <c r="W592" s="39"/>
      <c r="AC592" s="39"/>
      <c r="AD592" s="39"/>
      <c r="AE592" s="39"/>
      <c r="AK592" s="39"/>
      <c r="AL592" s="39"/>
      <c r="AM592" s="39"/>
      <c r="AS592" s="39"/>
      <c r="AT592" s="39"/>
      <c r="AU592" s="39"/>
      <c r="AZ592" s="40"/>
      <c r="BA592" s="39"/>
      <c r="BB592" s="39"/>
      <c r="BC592" s="39"/>
      <c r="BI592" s="39"/>
      <c r="BJ592" s="39"/>
      <c r="BK592" s="39"/>
      <c r="BQ592" s="39"/>
      <c r="BR592" s="39"/>
      <c r="BS592" s="39"/>
      <c r="BY592" s="39"/>
      <c r="BZ592" s="39"/>
      <c r="CA592" s="39"/>
      <c r="CG592" s="39"/>
      <c r="CH592" s="39"/>
      <c r="CI592" s="39"/>
    </row>
    <row r="593" spans="2:87" ht="15.75" customHeight="1">
      <c r="B593" s="2"/>
      <c r="C593" s="10"/>
      <c r="F593" s="39"/>
      <c r="G593" s="39"/>
      <c r="H593" s="39"/>
      <c r="I593" s="39"/>
      <c r="M593" s="39"/>
      <c r="N593" s="39"/>
      <c r="O593" s="39"/>
      <c r="U593" s="39"/>
      <c r="V593" s="39"/>
      <c r="W593" s="39"/>
      <c r="AC593" s="39"/>
      <c r="AD593" s="39"/>
      <c r="AE593" s="39"/>
      <c r="AK593" s="39"/>
      <c r="AL593" s="39"/>
      <c r="AM593" s="39"/>
      <c r="AS593" s="39"/>
      <c r="AT593" s="39"/>
      <c r="AU593" s="39"/>
      <c r="AZ593" s="40"/>
      <c r="BA593" s="39"/>
      <c r="BB593" s="39"/>
      <c r="BC593" s="39"/>
      <c r="BI593" s="39"/>
      <c r="BJ593" s="39"/>
      <c r="BK593" s="39"/>
      <c r="BQ593" s="39"/>
      <c r="BR593" s="39"/>
      <c r="BS593" s="39"/>
      <c r="BY593" s="39"/>
      <c r="BZ593" s="39"/>
      <c r="CA593" s="39"/>
      <c r="CG593" s="39"/>
      <c r="CH593" s="39"/>
      <c r="CI593" s="39"/>
    </row>
    <row r="594" spans="2:87" ht="15.75" customHeight="1">
      <c r="B594" s="2"/>
      <c r="C594" s="10"/>
      <c r="F594" s="39"/>
      <c r="G594" s="39"/>
      <c r="H594" s="39"/>
      <c r="I594" s="39"/>
      <c r="M594" s="39"/>
      <c r="N594" s="39"/>
      <c r="O594" s="39"/>
      <c r="U594" s="39"/>
      <c r="V594" s="39"/>
      <c r="W594" s="39"/>
      <c r="AC594" s="39"/>
      <c r="AD594" s="39"/>
      <c r="AE594" s="39"/>
      <c r="AK594" s="39"/>
      <c r="AL594" s="39"/>
      <c r="AM594" s="39"/>
      <c r="AS594" s="39"/>
      <c r="AT594" s="39"/>
      <c r="AU594" s="39"/>
      <c r="AZ594" s="40"/>
      <c r="BA594" s="39"/>
      <c r="BB594" s="39"/>
      <c r="BC594" s="39"/>
      <c r="BI594" s="39"/>
      <c r="BJ594" s="39"/>
      <c r="BK594" s="39"/>
      <c r="BQ594" s="39"/>
      <c r="BR594" s="39"/>
      <c r="BS594" s="39"/>
      <c r="BY594" s="39"/>
      <c r="BZ594" s="39"/>
      <c r="CA594" s="39"/>
      <c r="CG594" s="39"/>
      <c r="CH594" s="39"/>
      <c r="CI594" s="39"/>
    </row>
    <row r="595" spans="2:87" ht="15.75" customHeight="1">
      <c r="B595" s="2"/>
      <c r="C595" s="10"/>
      <c r="F595" s="39"/>
      <c r="G595" s="39"/>
      <c r="H595" s="39"/>
      <c r="I595" s="39"/>
      <c r="M595" s="39"/>
      <c r="N595" s="39"/>
      <c r="O595" s="39"/>
      <c r="U595" s="39"/>
      <c r="V595" s="39"/>
      <c r="W595" s="39"/>
      <c r="AC595" s="39"/>
      <c r="AD595" s="39"/>
      <c r="AE595" s="39"/>
      <c r="AK595" s="39"/>
      <c r="AL595" s="39"/>
      <c r="AM595" s="39"/>
      <c r="AS595" s="39"/>
      <c r="AT595" s="39"/>
      <c r="AU595" s="39"/>
      <c r="AZ595" s="40"/>
      <c r="BA595" s="39"/>
      <c r="BB595" s="39"/>
      <c r="BC595" s="39"/>
      <c r="BI595" s="39"/>
      <c r="BJ595" s="39"/>
      <c r="BK595" s="39"/>
      <c r="BQ595" s="39"/>
      <c r="BR595" s="39"/>
      <c r="BS595" s="39"/>
      <c r="BY595" s="39"/>
      <c r="BZ595" s="39"/>
      <c r="CA595" s="39"/>
      <c r="CG595" s="39"/>
      <c r="CH595" s="39"/>
      <c r="CI595" s="39"/>
    </row>
    <row r="596" spans="2:87" ht="15.75" customHeight="1">
      <c r="B596" s="2"/>
      <c r="C596" s="10"/>
      <c r="F596" s="39"/>
      <c r="G596" s="39"/>
      <c r="H596" s="39"/>
      <c r="I596" s="39"/>
      <c r="M596" s="39"/>
      <c r="N596" s="39"/>
      <c r="O596" s="39"/>
      <c r="U596" s="39"/>
      <c r="V596" s="39"/>
      <c r="W596" s="39"/>
      <c r="AC596" s="39"/>
      <c r="AD596" s="39"/>
      <c r="AE596" s="39"/>
      <c r="AK596" s="39"/>
      <c r="AL596" s="39"/>
      <c r="AM596" s="39"/>
      <c r="AS596" s="39"/>
      <c r="AT596" s="39"/>
      <c r="AU596" s="39"/>
      <c r="AZ596" s="40"/>
      <c r="BA596" s="39"/>
      <c r="BB596" s="39"/>
      <c r="BC596" s="39"/>
      <c r="BI596" s="39"/>
      <c r="BJ596" s="39"/>
      <c r="BK596" s="39"/>
      <c r="BQ596" s="39"/>
      <c r="BR596" s="39"/>
      <c r="BS596" s="39"/>
      <c r="BY596" s="39"/>
      <c r="BZ596" s="39"/>
      <c r="CA596" s="39"/>
      <c r="CG596" s="39"/>
      <c r="CH596" s="39"/>
      <c r="CI596" s="39"/>
    </row>
    <row r="597" spans="2:87" ht="15.75" customHeight="1">
      <c r="B597" s="2"/>
      <c r="C597" s="10"/>
      <c r="F597" s="39"/>
      <c r="G597" s="39"/>
      <c r="H597" s="39"/>
      <c r="I597" s="39"/>
      <c r="M597" s="39"/>
      <c r="N597" s="39"/>
      <c r="O597" s="39"/>
      <c r="U597" s="39"/>
      <c r="V597" s="39"/>
      <c r="W597" s="39"/>
      <c r="AC597" s="39"/>
      <c r="AD597" s="39"/>
      <c r="AE597" s="39"/>
      <c r="AK597" s="39"/>
      <c r="AL597" s="39"/>
      <c r="AM597" s="39"/>
      <c r="AS597" s="39"/>
      <c r="AT597" s="39"/>
      <c r="AU597" s="39"/>
      <c r="AZ597" s="40"/>
      <c r="BA597" s="39"/>
      <c r="BB597" s="39"/>
      <c r="BC597" s="39"/>
      <c r="BI597" s="39"/>
      <c r="BJ597" s="39"/>
      <c r="BK597" s="39"/>
      <c r="BQ597" s="39"/>
      <c r="BR597" s="39"/>
      <c r="BS597" s="39"/>
      <c r="BY597" s="39"/>
      <c r="BZ597" s="39"/>
      <c r="CA597" s="39"/>
      <c r="CG597" s="39"/>
      <c r="CH597" s="39"/>
      <c r="CI597" s="39"/>
    </row>
    <row r="598" spans="2:87" ht="15.75" customHeight="1">
      <c r="B598" s="2"/>
      <c r="C598" s="10"/>
      <c r="F598" s="39"/>
      <c r="G598" s="39"/>
      <c r="H598" s="39"/>
      <c r="I598" s="39"/>
      <c r="M598" s="39"/>
      <c r="N598" s="39"/>
      <c r="O598" s="39"/>
      <c r="U598" s="39"/>
      <c r="V598" s="39"/>
      <c r="W598" s="39"/>
      <c r="AC598" s="39"/>
      <c r="AD598" s="39"/>
      <c r="AE598" s="39"/>
      <c r="AK598" s="39"/>
      <c r="AL598" s="39"/>
      <c r="AM598" s="39"/>
      <c r="AS598" s="39"/>
      <c r="AT598" s="39"/>
      <c r="AU598" s="39"/>
      <c r="AZ598" s="40"/>
      <c r="BA598" s="39"/>
      <c r="BB598" s="39"/>
      <c r="BC598" s="39"/>
      <c r="BI598" s="39"/>
      <c r="BJ598" s="39"/>
      <c r="BK598" s="39"/>
      <c r="BQ598" s="39"/>
      <c r="BR598" s="39"/>
      <c r="BS598" s="39"/>
      <c r="BY598" s="39"/>
      <c r="BZ598" s="39"/>
      <c r="CA598" s="39"/>
      <c r="CG598" s="39"/>
      <c r="CH598" s="39"/>
      <c r="CI598" s="39"/>
    </row>
    <row r="599" spans="2:87" ht="15.75" customHeight="1">
      <c r="B599" s="2"/>
      <c r="C599" s="10"/>
      <c r="F599" s="39"/>
      <c r="G599" s="39"/>
      <c r="H599" s="39"/>
      <c r="I599" s="39"/>
      <c r="M599" s="39"/>
      <c r="N599" s="39"/>
      <c r="O599" s="39"/>
      <c r="U599" s="39"/>
      <c r="V599" s="39"/>
      <c r="W599" s="39"/>
      <c r="AC599" s="39"/>
      <c r="AD599" s="39"/>
      <c r="AE599" s="39"/>
      <c r="AK599" s="39"/>
      <c r="AL599" s="39"/>
      <c r="AM599" s="39"/>
      <c r="AS599" s="39"/>
      <c r="AT599" s="39"/>
      <c r="AU599" s="39"/>
      <c r="AZ599" s="40"/>
      <c r="BA599" s="39"/>
      <c r="BB599" s="39"/>
      <c r="BC599" s="39"/>
      <c r="BI599" s="39"/>
      <c r="BJ599" s="39"/>
      <c r="BK599" s="39"/>
      <c r="BQ599" s="39"/>
      <c r="BR599" s="39"/>
      <c r="BS599" s="39"/>
      <c r="BY599" s="39"/>
      <c r="BZ599" s="39"/>
      <c r="CA599" s="39"/>
      <c r="CG599" s="39"/>
      <c r="CH599" s="39"/>
      <c r="CI599" s="39"/>
    </row>
    <row r="600" spans="2:87" ht="15.75" customHeight="1">
      <c r="B600" s="2"/>
      <c r="C600" s="10"/>
      <c r="F600" s="39"/>
      <c r="G600" s="39"/>
      <c r="H600" s="39"/>
      <c r="I600" s="39"/>
      <c r="M600" s="39"/>
      <c r="N600" s="39"/>
      <c r="O600" s="39"/>
      <c r="U600" s="39"/>
      <c r="V600" s="39"/>
      <c r="W600" s="39"/>
      <c r="AC600" s="39"/>
      <c r="AD600" s="39"/>
      <c r="AE600" s="39"/>
      <c r="AK600" s="39"/>
      <c r="AL600" s="39"/>
      <c r="AM600" s="39"/>
      <c r="AS600" s="39"/>
      <c r="AT600" s="39"/>
      <c r="AU600" s="39"/>
      <c r="AZ600" s="40"/>
      <c r="BA600" s="39"/>
      <c r="BB600" s="39"/>
      <c r="BC600" s="39"/>
      <c r="BI600" s="39"/>
      <c r="BJ600" s="39"/>
      <c r="BK600" s="39"/>
      <c r="BQ600" s="39"/>
      <c r="BR600" s="39"/>
      <c r="BS600" s="39"/>
      <c r="BY600" s="39"/>
      <c r="BZ600" s="39"/>
      <c r="CA600" s="39"/>
      <c r="CG600" s="39"/>
      <c r="CH600" s="39"/>
      <c r="CI600" s="39"/>
    </row>
    <row r="601" spans="2:87" ht="15.75" customHeight="1">
      <c r="B601" s="2"/>
      <c r="C601" s="10"/>
      <c r="F601" s="39"/>
      <c r="G601" s="39"/>
      <c r="H601" s="39"/>
      <c r="I601" s="39"/>
      <c r="M601" s="39"/>
      <c r="N601" s="39"/>
      <c r="O601" s="39"/>
      <c r="U601" s="39"/>
      <c r="V601" s="39"/>
      <c r="W601" s="39"/>
      <c r="AC601" s="39"/>
      <c r="AD601" s="39"/>
      <c r="AE601" s="39"/>
      <c r="AK601" s="39"/>
      <c r="AL601" s="39"/>
      <c r="AM601" s="39"/>
      <c r="AS601" s="39"/>
      <c r="AT601" s="39"/>
      <c r="AU601" s="39"/>
      <c r="AZ601" s="40"/>
      <c r="BA601" s="39"/>
      <c r="BB601" s="39"/>
      <c r="BC601" s="39"/>
      <c r="BI601" s="39"/>
      <c r="BJ601" s="39"/>
      <c r="BK601" s="39"/>
      <c r="BQ601" s="39"/>
      <c r="BR601" s="39"/>
      <c r="BS601" s="39"/>
      <c r="BY601" s="39"/>
      <c r="BZ601" s="39"/>
      <c r="CA601" s="39"/>
      <c r="CG601" s="39"/>
      <c r="CH601" s="39"/>
      <c r="CI601" s="39"/>
    </row>
    <row r="602" spans="2:87" ht="15.75" customHeight="1">
      <c r="B602" s="2"/>
      <c r="C602" s="10"/>
      <c r="F602" s="39"/>
      <c r="G602" s="39"/>
      <c r="H602" s="39"/>
      <c r="I602" s="39"/>
      <c r="M602" s="39"/>
      <c r="N602" s="39"/>
      <c r="O602" s="39"/>
      <c r="U602" s="39"/>
      <c r="V602" s="39"/>
      <c r="W602" s="39"/>
      <c r="AC602" s="39"/>
      <c r="AD602" s="39"/>
      <c r="AE602" s="39"/>
      <c r="AK602" s="39"/>
      <c r="AL602" s="39"/>
      <c r="AM602" s="39"/>
      <c r="AS602" s="39"/>
      <c r="AT602" s="39"/>
      <c r="AU602" s="39"/>
      <c r="AZ602" s="40"/>
      <c r="BA602" s="39"/>
      <c r="BB602" s="39"/>
      <c r="BC602" s="39"/>
      <c r="BI602" s="39"/>
      <c r="BJ602" s="39"/>
      <c r="BK602" s="39"/>
      <c r="BQ602" s="39"/>
      <c r="BR602" s="39"/>
      <c r="BS602" s="39"/>
      <c r="BY602" s="39"/>
      <c r="BZ602" s="39"/>
      <c r="CA602" s="39"/>
      <c r="CG602" s="39"/>
      <c r="CH602" s="39"/>
      <c r="CI602" s="39"/>
    </row>
    <row r="603" spans="2:87" ht="15.75" customHeight="1">
      <c r="B603" s="2"/>
      <c r="C603" s="10"/>
      <c r="F603" s="39"/>
      <c r="G603" s="39"/>
      <c r="H603" s="39"/>
      <c r="I603" s="39"/>
      <c r="M603" s="39"/>
      <c r="N603" s="39"/>
      <c r="O603" s="39"/>
      <c r="U603" s="39"/>
      <c r="V603" s="39"/>
      <c r="W603" s="39"/>
      <c r="AC603" s="39"/>
      <c r="AD603" s="39"/>
      <c r="AE603" s="39"/>
      <c r="AK603" s="39"/>
      <c r="AL603" s="39"/>
      <c r="AM603" s="39"/>
      <c r="AS603" s="39"/>
      <c r="AT603" s="39"/>
      <c r="AU603" s="39"/>
      <c r="AZ603" s="40"/>
      <c r="BA603" s="39"/>
      <c r="BB603" s="39"/>
      <c r="BC603" s="39"/>
      <c r="BI603" s="39"/>
      <c r="BJ603" s="39"/>
      <c r="BK603" s="39"/>
      <c r="BQ603" s="39"/>
      <c r="BR603" s="39"/>
      <c r="BS603" s="39"/>
      <c r="BY603" s="39"/>
      <c r="BZ603" s="39"/>
      <c r="CA603" s="39"/>
      <c r="CG603" s="39"/>
      <c r="CH603" s="39"/>
      <c r="CI603" s="39"/>
    </row>
    <row r="604" spans="2:87" ht="15.75" customHeight="1">
      <c r="B604" s="2"/>
      <c r="C604" s="10"/>
      <c r="F604" s="39"/>
      <c r="G604" s="39"/>
      <c r="H604" s="39"/>
      <c r="I604" s="39"/>
      <c r="M604" s="39"/>
      <c r="N604" s="39"/>
      <c r="O604" s="39"/>
      <c r="U604" s="39"/>
      <c r="V604" s="39"/>
      <c r="W604" s="39"/>
      <c r="AC604" s="39"/>
      <c r="AD604" s="39"/>
      <c r="AE604" s="39"/>
      <c r="AK604" s="39"/>
      <c r="AL604" s="39"/>
      <c r="AM604" s="39"/>
      <c r="AS604" s="39"/>
      <c r="AT604" s="39"/>
      <c r="AU604" s="39"/>
      <c r="AZ604" s="40"/>
      <c r="BA604" s="39"/>
      <c r="BB604" s="39"/>
      <c r="BC604" s="39"/>
      <c r="BI604" s="39"/>
      <c r="BJ604" s="39"/>
      <c r="BK604" s="39"/>
      <c r="BQ604" s="39"/>
      <c r="BR604" s="39"/>
      <c r="BS604" s="39"/>
      <c r="BY604" s="39"/>
      <c r="BZ604" s="39"/>
      <c r="CA604" s="39"/>
      <c r="CG604" s="39"/>
      <c r="CH604" s="39"/>
      <c r="CI604" s="39"/>
    </row>
    <row r="605" spans="2:87" ht="15.75" customHeight="1">
      <c r="B605" s="2"/>
      <c r="C605" s="10"/>
      <c r="F605" s="39"/>
      <c r="G605" s="39"/>
      <c r="H605" s="39"/>
      <c r="I605" s="39"/>
      <c r="M605" s="39"/>
      <c r="N605" s="39"/>
      <c r="O605" s="39"/>
      <c r="U605" s="39"/>
      <c r="V605" s="39"/>
      <c r="W605" s="39"/>
      <c r="AC605" s="39"/>
      <c r="AD605" s="39"/>
      <c r="AE605" s="39"/>
      <c r="AK605" s="39"/>
      <c r="AL605" s="39"/>
      <c r="AM605" s="39"/>
      <c r="AS605" s="39"/>
      <c r="AT605" s="39"/>
      <c r="AU605" s="39"/>
      <c r="AZ605" s="40"/>
      <c r="BA605" s="39"/>
      <c r="BB605" s="39"/>
      <c r="BC605" s="39"/>
      <c r="BI605" s="39"/>
      <c r="BJ605" s="39"/>
      <c r="BK605" s="39"/>
      <c r="BQ605" s="39"/>
      <c r="BR605" s="39"/>
      <c r="BS605" s="39"/>
      <c r="BY605" s="39"/>
      <c r="BZ605" s="39"/>
      <c r="CA605" s="39"/>
      <c r="CG605" s="39"/>
      <c r="CH605" s="39"/>
      <c r="CI605" s="39"/>
    </row>
    <row r="606" spans="2:87" ht="15.75" customHeight="1">
      <c r="B606" s="2"/>
      <c r="C606" s="10"/>
      <c r="F606" s="39"/>
      <c r="G606" s="39"/>
      <c r="H606" s="39"/>
      <c r="I606" s="39"/>
      <c r="M606" s="39"/>
      <c r="N606" s="39"/>
      <c r="O606" s="39"/>
      <c r="U606" s="39"/>
      <c r="V606" s="39"/>
      <c r="W606" s="39"/>
      <c r="AC606" s="39"/>
      <c r="AD606" s="39"/>
      <c r="AE606" s="39"/>
      <c r="AK606" s="39"/>
      <c r="AL606" s="39"/>
      <c r="AM606" s="39"/>
      <c r="AS606" s="39"/>
      <c r="AT606" s="39"/>
      <c r="AU606" s="39"/>
      <c r="AZ606" s="40"/>
      <c r="BA606" s="39"/>
      <c r="BB606" s="39"/>
      <c r="BC606" s="39"/>
      <c r="BI606" s="39"/>
      <c r="BJ606" s="39"/>
      <c r="BK606" s="39"/>
      <c r="BQ606" s="39"/>
      <c r="BR606" s="39"/>
      <c r="BS606" s="39"/>
      <c r="BY606" s="39"/>
      <c r="BZ606" s="39"/>
      <c r="CA606" s="39"/>
      <c r="CG606" s="39"/>
      <c r="CH606" s="39"/>
      <c r="CI606" s="39"/>
    </row>
    <row r="607" spans="2:87" ht="15.75" customHeight="1">
      <c r="B607" s="2"/>
      <c r="C607" s="10"/>
      <c r="F607" s="39"/>
      <c r="G607" s="39"/>
      <c r="H607" s="39"/>
      <c r="I607" s="39"/>
      <c r="M607" s="39"/>
      <c r="N607" s="39"/>
      <c r="O607" s="39"/>
      <c r="U607" s="39"/>
      <c r="V607" s="39"/>
      <c r="W607" s="39"/>
      <c r="AC607" s="39"/>
      <c r="AD607" s="39"/>
      <c r="AE607" s="39"/>
      <c r="AK607" s="39"/>
      <c r="AL607" s="39"/>
      <c r="AM607" s="39"/>
      <c r="AS607" s="39"/>
      <c r="AT607" s="39"/>
      <c r="AU607" s="39"/>
      <c r="AZ607" s="40"/>
      <c r="BA607" s="39"/>
      <c r="BB607" s="39"/>
      <c r="BC607" s="39"/>
      <c r="BI607" s="39"/>
      <c r="BJ607" s="39"/>
      <c r="BK607" s="39"/>
      <c r="BQ607" s="39"/>
      <c r="BR607" s="39"/>
      <c r="BS607" s="39"/>
      <c r="BY607" s="39"/>
      <c r="BZ607" s="39"/>
      <c r="CA607" s="39"/>
      <c r="CG607" s="39"/>
      <c r="CH607" s="39"/>
      <c r="CI607" s="39"/>
    </row>
    <row r="608" spans="2:87" ht="15.75" customHeight="1">
      <c r="B608" s="2"/>
      <c r="C608" s="10"/>
      <c r="F608" s="39"/>
      <c r="G608" s="39"/>
      <c r="H608" s="39"/>
      <c r="I608" s="39"/>
      <c r="M608" s="39"/>
      <c r="N608" s="39"/>
      <c r="O608" s="39"/>
      <c r="U608" s="39"/>
      <c r="V608" s="39"/>
      <c r="W608" s="39"/>
      <c r="AC608" s="39"/>
      <c r="AD608" s="39"/>
      <c r="AE608" s="39"/>
      <c r="AK608" s="39"/>
      <c r="AL608" s="39"/>
      <c r="AM608" s="39"/>
      <c r="AS608" s="39"/>
      <c r="AT608" s="39"/>
      <c r="AU608" s="39"/>
      <c r="AZ608" s="40"/>
      <c r="BA608" s="39"/>
      <c r="BB608" s="39"/>
      <c r="BC608" s="39"/>
      <c r="BI608" s="39"/>
      <c r="BJ608" s="39"/>
      <c r="BK608" s="39"/>
      <c r="BQ608" s="39"/>
      <c r="BR608" s="39"/>
      <c r="BS608" s="39"/>
      <c r="BY608" s="39"/>
      <c r="BZ608" s="39"/>
      <c r="CA608" s="39"/>
      <c r="CG608" s="39"/>
      <c r="CH608" s="39"/>
      <c r="CI608" s="39"/>
    </row>
    <row r="609" spans="2:87" ht="15.75" customHeight="1">
      <c r="B609" s="2"/>
      <c r="C609" s="10"/>
      <c r="F609" s="39"/>
      <c r="G609" s="39"/>
      <c r="H609" s="39"/>
      <c r="I609" s="39"/>
      <c r="M609" s="39"/>
      <c r="N609" s="39"/>
      <c r="O609" s="39"/>
      <c r="U609" s="39"/>
      <c r="V609" s="39"/>
      <c r="W609" s="39"/>
      <c r="AC609" s="39"/>
      <c r="AD609" s="39"/>
      <c r="AE609" s="39"/>
      <c r="AK609" s="39"/>
      <c r="AL609" s="39"/>
      <c r="AM609" s="39"/>
      <c r="AS609" s="39"/>
      <c r="AT609" s="39"/>
      <c r="AU609" s="39"/>
      <c r="AZ609" s="40"/>
      <c r="BA609" s="39"/>
      <c r="BB609" s="39"/>
      <c r="BC609" s="39"/>
      <c r="BI609" s="39"/>
      <c r="BJ609" s="39"/>
      <c r="BK609" s="39"/>
      <c r="BQ609" s="39"/>
      <c r="BR609" s="39"/>
      <c r="BS609" s="39"/>
      <c r="BY609" s="39"/>
      <c r="BZ609" s="39"/>
      <c r="CA609" s="39"/>
      <c r="CG609" s="39"/>
      <c r="CH609" s="39"/>
      <c r="CI609" s="39"/>
    </row>
    <row r="610" spans="2:87" ht="15.75" customHeight="1">
      <c r="B610" s="2"/>
      <c r="C610" s="10"/>
      <c r="F610" s="39"/>
      <c r="G610" s="39"/>
      <c r="H610" s="39"/>
      <c r="I610" s="39"/>
      <c r="M610" s="39"/>
      <c r="N610" s="39"/>
      <c r="O610" s="39"/>
      <c r="U610" s="39"/>
      <c r="V610" s="39"/>
      <c r="W610" s="39"/>
      <c r="AC610" s="39"/>
      <c r="AD610" s="39"/>
      <c r="AE610" s="39"/>
      <c r="AK610" s="39"/>
      <c r="AL610" s="39"/>
      <c r="AM610" s="39"/>
      <c r="AS610" s="39"/>
      <c r="AT610" s="39"/>
      <c r="AU610" s="39"/>
      <c r="AZ610" s="40"/>
      <c r="BA610" s="39"/>
      <c r="BB610" s="39"/>
      <c r="BC610" s="39"/>
      <c r="BI610" s="39"/>
      <c r="BJ610" s="39"/>
      <c r="BK610" s="39"/>
      <c r="BQ610" s="39"/>
      <c r="BR610" s="39"/>
      <c r="BS610" s="39"/>
      <c r="BY610" s="39"/>
      <c r="BZ610" s="39"/>
      <c r="CA610" s="39"/>
      <c r="CG610" s="39"/>
      <c r="CH610" s="39"/>
      <c r="CI610" s="39"/>
    </row>
    <row r="611" spans="2:87" ht="15.75" customHeight="1">
      <c r="B611" s="2"/>
      <c r="C611" s="10"/>
      <c r="F611" s="39"/>
      <c r="G611" s="39"/>
      <c r="H611" s="39"/>
      <c r="I611" s="39"/>
      <c r="M611" s="39"/>
      <c r="N611" s="39"/>
      <c r="O611" s="39"/>
      <c r="U611" s="39"/>
      <c r="V611" s="39"/>
      <c r="W611" s="39"/>
      <c r="AC611" s="39"/>
      <c r="AD611" s="39"/>
      <c r="AE611" s="39"/>
      <c r="AK611" s="39"/>
      <c r="AL611" s="39"/>
      <c r="AM611" s="39"/>
      <c r="AS611" s="39"/>
      <c r="AT611" s="39"/>
      <c r="AU611" s="39"/>
      <c r="AZ611" s="40"/>
      <c r="BA611" s="39"/>
      <c r="BB611" s="39"/>
      <c r="BC611" s="39"/>
      <c r="BI611" s="39"/>
      <c r="BJ611" s="39"/>
      <c r="BK611" s="39"/>
      <c r="BQ611" s="39"/>
      <c r="BR611" s="39"/>
      <c r="BS611" s="39"/>
      <c r="BY611" s="39"/>
      <c r="BZ611" s="39"/>
      <c r="CA611" s="39"/>
      <c r="CG611" s="39"/>
      <c r="CH611" s="39"/>
      <c r="CI611" s="39"/>
    </row>
    <row r="612" spans="2:87" ht="15.75" customHeight="1">
      <c r="B612" s="2"/>
      <c r="C612" s="10"/>
      <c r="F612" s="39"/>
      <c r="G612" s="39"/>
      <c r="H612" s="39"/>
      <c r="I612" s="39"/>
      <c r="M612" s="39"/>
      <c r="N612" s="39"/>
      <c r="O612" s="39"/>
      <c r="U612" s="39"/>
      <c r="V612" s="39"/>
      <c r="W612" s="39"/>
      <c r="AC612" s="39"/>
      <c r="AD612" s="39"/>
      <c r="AE612" s="39"/>
      <c r="AK612" s="39"/>
      <c r="AL612" s="39"/>
      <c r="AM612" s="39"/>
      <c r="AS612" s="39"/>
      <c r="AT612" s="39"/>
      <c r="AU612" s="39"/>
      <c r="AZ612" s="40"/>
      <c r="BA612" s="39"/>
      <c r="BB612" s="39"/>
      <c r="BC612" s="39"/>
      <c r="BI612" s="39"/>
      <c r="BJ612" s="39"/>
      <c r="BK612" s="39"/>
      <c r="BQ612" s="39"/>
      <c r="BR612" s="39"/>
      <c r="BS612" s="39"/>
      <c r="BY612" s="39"/>
      <c r="BZ612" s="39"/>
      <c r="CA612" s="39"/>
      <c r="CG612" s="39"/>
      <c r="CH612" s="39"/>
      <c r="CI612" s="39"/>
    </row>
    <row r="613" spans="2:87" ht="15.75" customHeight="1">
      <c r="B613" s="2"/>
      <c r="C613" s="10"/>
      <c r="F613" s="39"/>
      <c r="G613" s="39"/>
      <c r="H613" s="39"/>
      <c r="I613" s="39"/>
      <c r="M613" s="39"/>
      <c r="N613" s="39"/>
      <c r="O613" s="39"/>
      <c r="U613" s="39"/>
      <c r="V613" s="39"/>
      <c r="W613" s="39"/>
      <c r="AC613" s="39"/>
      <c r="AD613" s="39"/>
      <c r="AE613" s="39"/>
      <c r="AK613" s="39"/>
      <c r="AL613" s="39"/>
      <c r="AM613" s="39"/>
      <c r="AS613" s="39"/>
      <c r="AT613" s="39"/>
      <c r="AU613" s="39"/>
      <c r="AZ613" s="40"/>
      <c r="BA613" s="39"/>
      <c r="BB613" s="39"/>
      <c r="BC613" s="39"/>
      <c r="BI613" s="39"/>
      <c r="BJ613" s="39"/>
      <c r="BK613" s="39"/>
      <c r="BQ613" s="39"/>
      <c r="BR613" s="39"/>
      <c r="BS613" s="39"/>
      <c r="BY613" s="39"/>
      <c r="BZ613" s="39"/>
      <c r="CA613" s="39"/>
      <c r="CG613" s="39"/>
      <c r="CH613" s="39"/>
      <c r="CI613" s="39"/>
    </row>
    <row r="614" spans="2:87" ht="15.75" customHeight="1">
      <c r="B614" s="2"/>
      <c r="C614" s="10"/>
      <c r="F614" s="39"/>
      <c r="G614" s="39"/>
      <c r="H614" s="39"/>
      <c r="I614" s="39"/>
      <c r="M614" s="39"/>
      <c r="N614" s="39"/>
      <c r="O614" s="39"/>
      <c r="U614" s="39"/>
      <c r="V614" s="39"/>
      <c r="W614" s="39"/>
      <c r="AC614" s="39"/>
      <c r="AD614" s="39"/>
      <c r="AE614" s="39"/>
      <c r="AK614" s="39"/>
      <c r="AL614" s="39"/>
      <c r="AM614" s="39"/>
      <c r="AS614" s="39"/>
      <c r="AT614" s="39"/>
      <c r="AU614" s="39"/>
      <c r="AZ614" s="40"/>
      <c r="BA614" s="39"/>
      <c r="BB614" s="39"/>
      <c r="BC614" s="39"/>
      <c r="BI614" s="39"/>
      <c r="BJ614" s="39"/>
      <c r="BK614" s="39"/>
      <c r="BQ614" s="39"/>
      <c r="BR614" s="39"/>
      <c r="BS614" s="39"/>
      <c r="BY614" s="39"/>
      <c r="BZ614" s="39"/>
      <c r="CA614" s="39"/>
      <c r="CG614" s="39"/>
      <c r="CH614" s="39"/>
      <c r="CI614" s="39"/>
    </row>
    <row r="615" spans="2:87" ht="15.75" customHeight="1">
      <c r="B615" s="2"/>
      <c r="C615" s="10"/>
      <c r="F615" s="39"/>
      <c r="G615" s="39"/>
      <c r="H615" s="39"/>
      <c r="I615" s="39"/>
      <c r="M615" s="39"/>
      <c r="N615" s="39"/>
      <c r="O615" s="39"/>
      <c r="U615" s="39"/>
      <c r="V615" s="39"/>
      <c r="W615" s="39"/>
      <c r="AC615" s="39"/>
      <c r="AD615" s="39"/>
      <c r="AE615" s="39"/>
      <c r="AK615" s="39"/>
      <c r="AL615" s="39"/>
      <c r="AM615" s="39"/>
      <c r="AS615" s="39"/>
      <c r="AT615" s="39"/>
      <c r="AU615" s="39"/>
      <c r="AZ615" s="40"/>
      <c r="BA615" s="39"/>
      <c r="BB615" s="39"/>
      <c r="BC615" s="39"/>
      <c r="BI615" s="39"/>
      <c r="BJ615" s="39"/>
      <c r="BK615" s="39"/>
      <c r="BQ615" s="39"/>
      <c r="BR615" s="39"/>
      <c r="BS615" s="39"/>
      <c r="BY615" s="39"/>
      <c r="BZ615" s="39"/>
      <c r="CA615" s="39"/>
      <c r="CG615" s="39"/>
      <c r="CH615" s="39"/>
      <c r="CI615" s="39"/>
    </row>
    <row r="616" spans="2:87" ht="15.75" customHeight="1">
      <c r="B616" s="2"/>
      <c r="C616" s="10"/>
      <c r="F616" s="39"/>
      <c r="G616" s="39"/>
      <c r="H616" s="39"/>
      <c r="I616" s="39"/>
      <c r="M616" s="39"/>
      <c r="N616" s="39"/>
      <c r="O616" s="39"/>
      <c r="U616" s="39"/>
      <c r="V616" s="39"/>
      <c r="W616" s="39"/>
      <c r="AC616" s="39"/>
      <c r="AD616" s="39"/>
      <c r="AE616" s="39"/>
      <c r="AK616" s="39"/>
      <c r="AL616" s="39"/>
      <c r="AM616" s="39"/>
      <c r="AS616" s="39"/>
      <c r="AT616" s="39"/>
      <c r="AU616" s="39"/>
      <c r="AZ616" s="40"/>
      <c r="BA616" s="39"/>
      <c r="BB616" s="39"/>
      <c r="BC616" s="39"/>
      <c r="BI616" s="39"/>
      <c r="BJ616" s="39"/>
      <c r="BK616" s="39"/>
      <c r="BQ616" s="39"/>
      <c r="BR616" s="39"/>
      <c r="BS616" s="39"/>
      <c r="BY616" s="39"/>
      <c r="BZ616" s="39"/>
      <c r="CA616" s="39"/>
      <c r="CG616" s="39"/>
      <c r="CH616" s="39"/>
      <c r="CI616" s="39"/>
    </row>
    <row r="617" spans="2:87" ht="15.75" customHeight="1">
      <c r="B617" s="2"/>
      <c r="C617" s="10"/>
      <c r="F617" s="39"/>
      <c r="G617" s="39"/>
      <c r="H617" s="39"/>
      <c r="I617" s="39"/>
      <c r="M617" s="39"/>
      <c r="N617" s="39"/>
      <c r="O617" s="39"/>
      <c r="U617" s="39"/>
      <c r="V617" s="39"/>
      <c r="W617" s="39"/>
      <c r="AC617" s="39"/>
      <c r="AD617" s="39"/>
      <c r="AE617" s="39"/>
      <c r="AK617" s="39"/>
      <c r="AL617" s="39"/>
      <c r="AM617" s="39"/>
      <c r="AS617" s="39"/>
      <c r="AT617" s="39"/>
      <c r="AU617" s="39"/>
      <c r="AZ617" s="40"/>
      <c r="BA617" s="39"/>
      <c r="BB617" s="39"/>
      <c r="BC617" s="39"/>
      <c r="BI617" s="39"/>
      <c r="BJ617" s="39"/>
      <c r="BK617" s="39"/>
      <c r="BQ617" s="39"/>
      <c r="BR617" s="39"/>
      <c r="BS617" s="39"/>
      <c r="BY617" s="39"/>
      <c r="BZ617" s="39"/>
      <c r="CA617" s="39"/>
      <c r="CG617" s="39"/>
      <c r="CH617" s="39"/>
      <c r="CI617" s="39"/>
    </row>
    <row r="618" spans="2:87" ht="15.75" customHeight="1">
      <c r="B618" s="2"/>
      <c r="C618" s="10"/>
      <c r="F618" s="39"/>
      <c r="G618" s="39"/>
      <c r="H618" s="39"/>
      <c r="I618" s="39"/>
      <c r="M618" s="39"/>
      <c r="N618" s="39"/>
      <c r="O618" s="39"/>
      <c r="U618" s="39"/>
      <c r="V618" s="39"/>
      <c r="W618" s="39"/>
      <c r="AC618" s="39"/>
      <c r="AD618" s="39"/>
      <c r="AE618" s="39"/>
      <c r="AK618" s="39"/>
      <c r="AL618" s="39"/>
      <c r="AM618" s="39"/>
      <c r="AS618" s="39"/>
      <c r="AT618" s="39"/>
      <c r="AU618" s="39"/>
      <c r="AZ618" s="40"/>
      <c r="BA618" s="39"/>
      <c r="BB618" s="39"/>
      <c r="BC618" s="39"/>
      <c r="BI618" s="39"/>
      <c r="BJ618" s="39"/>
      <c r="BK618" s="39"/>
      <c r="BQ618" s="39"/>
      <c r="BR618" s="39"/>
      <c r="BS618" s="39"/>
      <c r="BY618" s="39"/>
      <c r="BZ618" s="39"/>
      <c r="CA618" s="39"/>
      <c r="CG618" s="39"/>
      <c r="CH618" s="39"/>
      <c r="CI618" s="39"/>
    </row>
    <row r="619" spans="2:87" ht="15.75" customHeight="1">
      <c r="B619" s="2"/>
      <c r="C619" s="10"/>
      <c r="F619" s="39"/>
      <c r="G619" s="39"/>
      <c r="H619" s="39"/>
      <c r="I619" s="39"/>
      <c r="M619" s="39"/>
      <c r="N619" s="39"/>
      <c r="O619" s="39"/>
      <c r="U619" s="39"/>
      <c r="V619" s="39"/>
      <c r="W619" s="39"/>
      <c r="AC619" s="39"/>
      <c r="AD619" s="39"/>
      <c r="AE619" s="39"/>
      <c r="AK619" s="39"/>
      <c r="AL619" s="39"/>
      <c r="AM619" s="39"/>
      <c r="AS619" s="39"/>
      <c r="AT619" s="39"/>
      <c r="AU619" s="39"/>
      <c r="AZ619" s="40"/>
      <c r="BA619" s="39"/>
      <c r="BB619" s="39"/>
      <c r="BC619" s="39"/>
      <c r="BI619" s="39"/>
      <c r="BJ619" s="39"/>
      <c r="BK619" s="39"/>
      <c r="BQ619" s="39"/>
      <c r="BR619" s="39"/>
      <c r="BS619" s="39"/>
      <c r="BY619" s="39"/>
      <c r="BZ619" s="39"/>
      <c r="CA619" s="39"/>
      <c r="CG619" s="39"/>
      <c r="CH619" s="39"/>
      <c r="CI619" s="39"/>
    </row>
    <row r="620" spans="2:87" ht="15.75" customHeight="1">
      <c r="B620" s="2"/>
      <c r="C620" s="10"/>
      <c r="F620" s="39"/>
      <c r="G620" s="39"/>
      <c r="H620" s="39"/>
      <c r="I620" s="39"/>
      <c r="M620" s="39"/>
      <c r="N620" s="39"/>
      <c r="O620" s="39"/>
      <c r="U620" s="39"/>
      <c r="V620" s="39"/>
      <c r="W620" s="39"/>
      <c r="AC620" s="39"/>
      <c r="AD620" s="39"/>
      <c r="AE620" s="39"/>
      <c r="AK620" s="39"/>
      <c r="AL620" s="39"/>
      <c r="AM620" s="39"/>
      <c r="AS620" s="39"/>
      <c r="AT620" s="39"/>
      <c r="AU620" s="39"/>
      <c r="AZ620" s="40"/>
      <c r="BA620" s="39"/>
      <c r="BB620" s="39"/>
      <c r="BC620" s="39"/>
      <c r="BI620" s="39"/>
      <c r="BJ620" s="39"/>
      <c r="BK620" s="39"/>
      <c r="BQ620" s="39"/>
      <c r="BR620" s="39"/>
      <c r="BS620" s="39"/>
      <c r="BY620" s="39"/>
      <c r="BZ620" s="39"/>
      <c r="CA620" s="39"/>
      <c r="CG620" s="39"/>
      <c r="CH620" s="39"/>
      <c r="CI620" s="39"/>
    </row>
    <row r="621" spans="2:87" ht="15.75" customHeight="1">
      <c r="B621" s="2"/>
      <c r="C621" s="10"/>
      <c r="F621" s="39"/>
      <c r="G621" s="39"/>
      <c r="H621" s="39"/>
      <c r="I621" s="39"/>
      <c r="M621" s="39"/>
      <c r="N621" s="39"/>
      <c r="O621" s="39"/>
      <c r="U621" s="39"/>
      <c r="V621" s="39"/>
      <c r="W621" s="39"/>
      <c r="AC621" s="39"/>
      <c r="AD621" s="39"/>
      <c r="AE621" s="39"/>
      <c r="AK621" s="39"/>
      <c r="AL621" s="39"/>
      <c r="AM621" s="39"/>
      <c r="AS621" s="39"/>
      <c r="AT621" s="39"/>
      <c r="AU621" s="39"/>
      <c r="AZ621" s="40"/>
      <c r="BA621" s="39"/>
      <c r="BB621" s="39"/>
      <c r="BC621" s="39"/>
      <c r="BI621" s="39"/>
      <c r="BJ621" s="39"/>
      <c r="BK621" s="39"/>
      <c r="BQ621" s="39"/>
      <c r="BR621" s="39"/>
      <c r="BS621" s="39"/>
      <c r="BY621" s="39"/>
      <c r="BZ621" s="39"/>
      <c r="CA621" s="39"/>
      <c r="CG621" s="39"/>
      <c r="CH621" s="39"/>
      <c r="CI621" s="39"/>
    </row>
    <row r="622" spans="2:87" ht="15.75" customHeight="1">
      <c r="B622" s="2"/>
      <c r="C622" s="10"/>
      <c r="F622" s="39"/>
      <c r="G622" s="39"/>
      <c r="H622" s="39"/>
      <c r="I622" s="39"/>
      <c r="M622" s="39"/>
      <c r="N622" s="39"/>
      <c r="O622" s="39"/>
      <c r="U622" s="39"/>
      <c r="V622" s="39"/>
      <c r="W622" s="39"/>
      <c r="AC622" s="39"/>
      <c r="AD622" s="39"/>
      <c r="AE622" s="39"/>
      <c r="AK622" s="39"/>
      <c r="AL622" s="39"/>
      <c r="AM622" s="39"/>
      <c r="AS622" s="39"/>
      <c r="AT622" s="39"/>
      <c r="AU622" s="39"/>
      <c r="AZ622" s="40"/>
      <c r="BA622" s="39"/>
      <c r="BB622" s="39"/>
      <c r="BC622" s="39"/>
      <c r="BI622" s="39"/>
      <c r="BJ622" s="39"/>
      <c r="BK622" s="39"/>
      <c r="BQ622" s="39"/>
      <c r="BR622" s="39"/>
      <c r="BS622" s="39"/>
      <c r="BY622" s="39"/>
      <c r="BZ622" s="39"/>
      <c r="CA622" s="39"/>
      <c r="CG622" s="39"/>
      <c r="CH622" s="39"/>
      <c r="CI622" s="39"/>
    </row>
    <row r="623" spans="2:87" ht="15.75" customHeight="1">
      <c r="B623" s="2"/>
      <c r="C623" s="10"/>
      <c r="F623" s="39"/>
      <c r="G623" s="39"/>
      <c r="H623" s="39"/>
      <c r="I623" s="39"/>
      <c r="M623" s="39"/>
      <c r="N623" s="39"/>
      <c r="O623" s="39"/>
      <c r="U623" s="39"/>
      <c r="V623" s="39"/>
      <c r="W623" s="39"/>
      <c r="AC623" s="39"/>
      <c r="AD623" s="39"/>
      <c r="AE623" s="39"/>
      <c r="AK623" s="39"/>
      <c r="AL623" s="39"/>
      <c r="AM623" s="39"/>
      <c r="AS623" s="39"/>
      <c r="AT623" s="39"/>
      <c r="AU623" s="39"/>
      <c r="AZ623" s="40"/>
      <c r="BA623" s="39"/>
      <c r="BB623" s="39"/>
      <c r="BC623" s="39"/>
      <c r="BI623" s="39"/>
      <c r="BJ623" s="39"/>
      <c r="BK623" s="39"/>
      <c r="BQ623" s="39"/>
      <c r="BR623" s="39"/>
      <c r="BS623" s="39"/>
      <c r="BY623" s="39"/>
      <c r="BZ623" s="39"/>
      <c r="CA623" s="39"/>
      <c r="CG623" s="39"/>
      <c r="CH623" s="39"/>
      <c r="CI623" s="39"/>
    </row>
    <row r="624" spans="2:87" ht="15.75" customHeight="1">
      <c r="B624" s="2"/>
      <c r="C624" s="10"/>
      <c r="F624" s="39"/>
      <c r="G624" s="39"/>
      <c r="H624" s="39"/>
      <c r="I624" s="39"/>
      <c r="M624" s="39"/>
      <c r="N624" s="39"/>
      <c r="O624" s="39"/>
      <c r="U624" s="39"/>
      <c r="V624" s="39"/>
      <c r="W624" s="39"/>
      <c r="AC624" s="39"/>
      <c r="AD624" s="39"/>
      <c r="AE624" s="39"/>
      <c r="AK624" s="39"/>
      <c r="AL624" s="39"/>
      <c r="AM624" s="39"/>
      <c r="AS624" s="39"/>
      <c r="AT624" s="39"/>
      <c r="AU624" s="39"/>
      <c r="AZ624" s="40"/>
      <c r="BA624" s="39"/>
      <c r="BB624" s="39"/>
      <c r="BC624" s="39"/>
      <c r="BI624" s="39"/>
      <c r="BJ624" s="39"/>
      <c r="BK624" s="39"/>
      <c r="BQ624" s="39"/>
      <c r="BR624" s="39"/>
      <c r="BS624" s="39"/>
      <c r="BY624" s="39"/>
      <c r="BZ624" s="39"/>
      <c r="CA624" s="39"/>
      <c r="CG624" s="39"/>
      <c r="CH624" s="39"/>
      <c r="CI624" s="39"/>
    </row>
    <row r="625" spans="2:87" ht="15.75" customHeight="1">
      <c r="B625" s="2"/>
      <c r="C625" s="10"/>
      <c r="F625" s="39"/>
      <c r="G625" s="39"/>
      <c r="H625" s="39"/>
      <c r="I625" s="39"/>
      <c r="M625" s="39"/>
      <c r="N625" s="39"/>
      <c r="O625" s="39"/>
      <c r="U625" s="39"/>
      <c r="V625" s="39"/>
      <c r="W625" s="39"/>
      <c r="AC625" s="39"/>
      <c r="AD625" s="39"/>
      <c r="AE625" s="39"/>
      <c r="AK625" s="39"/>
      <c r="AL625" s="39"/>
      <c r="AM625" s="39"/>
      <c r="AS625" s="39"/>
      <c r="AT625" s="39"/>
      <c r="AU625" s="39"/>
      <c r="AZ625" s="40"/>
      <c r="BA625" s="39"/>
      <c r="BB625" s="39"/>
      <c r="BC625" s="39"/>
      <c r="BI625" s="39"/>
      <c r="BJ625" s="39"/>
      <c r="BK625" s="39"/>
      <c r="BQ625" s="39"/>
      <c r="BR625" s="39"/>
      <c r="BS625" s="39"/>
      <c r="BY625" s="39"/>
      <c r="BZ625" s="39"/>
      <c r="CA625" s="39"/>
      <c r="CG625" s="39"/>
      <c r="CH625" s="39"/>
      <c r="CI625" s="39"/>
    </row>
    <row r="626" spans="2:87" ht="15.75" customHeight="1">
      <c r="B626" s="2"/>
      <c r="C626" s="10"/>
      <c r="F626" s="39"/>
      <c r="G626" s="39"/>
      <c r="H626" s="39"/>
      <c r="I626" s="39"/>
      <c r="M626" s="39"/>
      <c r="N626" s="39"/>
      <c r="O626" s="39"/>
      <c r="U626" s="39"/>
      <c r="V626" s="39"/>
      <c r="W626" s="39"/>
      <c r="AC626" s="39"/>
      <c r="AD626" s="39"/>
      <c r="AE626" s="39"/>
      <c r="AK626" s="39"/>
      <c r="AL626" s="39"/>
      <c r="AM626" s="39"/>
      <c r="AS626" s="39"/>
      <c r="AT626" s="39"/>
      <c r="AU626" s="39"/>
      <c r="AZ626" s="40"/>
      <c r="BA626" s="39"/>
      <c r="BB626" s="39"/>
      <c r="BC626" s="39"/>
      <c r="BI626" s="39"/>
      <c r="BJ626" s="39"/>
      <c r="BK626" s="39"/>
      <c r="BQ626" s="39"/>
      <c r="BR626" s="39"/>
      <c r="BS626" s="39"/>
      <c r="BY626" s="39"/>
      <c r="BZ626" s="39"/>
      <c r="CA626" s="39"/>
      <c r="CG626" s="39"/>
      <c r="CH626" s="39"/>
      <c r="CI626" s="39"/>
    </row>
    <row r="627" spans="2:87" ht="15.75" customHeight="1">
      <c r="B627" s="2"/>
      <c r="C627" s="10"/>
      <c r="F627" s="39"/>
      <c r="G627" s="39"/>
      <c r="H627" s="39"/>
      <c r="I627" s="39"/>
      <c r="M627" s="39"/>
      <c r="N627" s="39"/>
      <c r="O627" s="39"/>
      <c r="U627" s="39"/>
      <c r="V627" s="39"/>
      <c r="W627" s="39"/>
      <c r="AC627" s="39"/>
      <c r="AD627" s="39"/>
      <c r="AE627" s="39"/>
      <c r="AK627" s="39"/>
      <c r="AL627" s="39"/>
      <c r="AM627" s="39"/>
      <c r="AS627" s="39"/>
      <c r="AT627" s="39"/>
      <c r="AU627" s="39"/>
      <c r="AZ627" s="40"/>
      <c r="BA627" s="39"/>
      <c r="BB627" s="39"/>
      <c r="BC627" s="39"/>
      <c r="BI627" s="39"/>
      <c r="BJ627" s="39"/>
      <c r="BK627" s="39"/>
      <c r="BQ627" s="39"/>
      <c r="BR627" s="39"/>
      <c r="BS627" s="39"/>
      <c r="BY627" s="39"/>
      <c r="BZ627" s="39"/>
      <c r="CA627" s="39"/>
      <c r="CG627" s="39"/>
      <c r="CH627" s="39"/>
      <c r="CI627" s="39"/>
    </row>
    <row r="628" spans="2:87" ht="15.75" customHeight="1">
      <c r="B628" s="2"/>
      <c r="C628" s="10"/>
      <c r="F628" s="39"/>
      <c r="G628" s="39"/>
      <c r="H628" s="39"/>
      <c r="I628" s="39"/>
      <c r="M628" s="39"/>
      <c r="N628" s="39"/>
      <c r="O628" s="39"/>
      <c r="U628" s="39"/>
      <c r="V628" s="39"/>
      <c r="W628" s="39"/>
      <c r="AC628" s="39"/>
      <c r="AD628" s="39"/>
      <c r="AE628" s="39"/>
      <c r="AK628" s="39"/>
      <c r="AL628" s="39"/>
      <c r="AM628" s="39"/>
      <c r="AS628" s="39"/>
      <c r="AT628" s="39"/>
      <c r="AU628" s="39"/>
      <c r="AZ628" s="40"/>
      <c r="BA628" s="39"/>
      <c r="BB628" s="39"/>
      <c r="BC628" s="39"/>
      <c r="BI628" s="39"/>
      <c r="BJ628" s="39"/>
      <c r="BK628" s="39"/>
      <c r="BQ628" s="39"/>
      <c r="BR628" s="39"/>
      <c r="BS628" s="39"/>
      <c r="BY628" s="39"/>
      <c r="BZ628" s="39"/>
      <c r="CA628" s="39"/>
      <c r="CG628" s="39"/>
      <c r="CH628" s="39"/>
      <c r="CI628" s="39"/>
    </row>
    <row r="629" spans="2:87" ht="15.75" customHeight="1">
      <c r="B629" s="2"/>
      <c r="C629" s="10"/>
      <c r="F629" s="39"/>
      <c r="G629" s="39"/>
      <c r="H629" s="39"/>
      <c r="I629" s="39"/>
      <c r="M629" s="39"/>
      <c r="N629" s="39"/>
      <c r="O629" s="39"/>
      <c r="U629" s="39"/>
      <c r="V629" s="39"/>
      <c r="W629" s="39"/>
      <c r="AC629" s="39"/>
      <c r="AD629" s="39"/>
      <c r="AE629" s="39"/>
      <c r="AK629" s="39"/>
      <c r="AL629" s="39"/>
      <c r="AM629" s="39"/>
      <c r="AS629" s="39"/>
      <c r="AT629" s="39"/>
      <c r="AU629" s="39"/>
      <c r="AZ629" s="40"/>
      <c r="BA629" s="39"/>
      <c r="BB629" s="39"/>
      <c r="BC629" s="39"/>
      <c r="BI629" s="39"/>
      <c r="BJ629" s="39"/>
      <c r="BK629" s="39"/>
      <c r="BQ629" s="39"/>
      <c r="BR629" s="39"/>
      <c r="BS629" s="39"/>
      <c r="BY629" s="39"/>
      <c r="BZ629" s="39"/>
      <c r="CA629" s="39"/>
      <c r="CG629" s="39"/>
      <c r="CH629" s="39"/>
      <c r="CI629" s="39"/>
    </row>
    <row r="630" spans="2:87" ht="15.75" customHeight="1">
      <c r="B630" s="2"/>
      <c r="C630" s="10"/>
      <c r="F630" s="39"/>
      <c r="G630" s="39"/>
      <c r="H630" s="39"/>
      <c r="I630" s="39"/>
      <c r="M630" s="39"/>
      <c r="N630" s="39"/>
      <c r="O630" s="39"/>
      <c r="U630" s="39"/>
      <c r="V630" s="39"/>
      <c r="W630" s="39"/>
      <c r="AC630" s="39"/>
      <c r="AD630" s="39"/>
      <c r="AE630" s="39"/>
      <c r="AK630" s="39"/>
      <c r="AL630" s="39"/>
      <c r="AM630" s="39"/>
      <c r="AS630" s="39"/>
      <c r="AT630" s="39"/>
      <c r="AU630" s="39"/>
      <c r="AZ630" s="40"/>
      <c r="BA630" s="39"/>
      <c r="BB630" s="39"/>
      <c r="BC630" s="39"/>
      <c r="BI630" s="39"/>
      <c r="BJ630" s="39"/>
      <c r="BK630" s="39"/>
      <c r="BQ630" s="39"/>
      <c r="BR630" s="39"/>
      <c r="BS630" s="39"/>
      <c r="BY630" s="39"/>
      <c r="BZ630" s="39"/>
      <c r="CA630" s="39"/>
      <c r="CG630" s="39"/>
      <c r="CH630" s="39"/>
      <c r="CI630" s="39"/>
    </row>
    <row r="631" spans="2:87" ht="15.75" customHeight="1">
      <c r="B631" s="2"/>
      <c r="C631" s="10"/>
      <c r="F631" s="39"/>
      <c r="G631" s="39"/>
      <c r="H631" s="39"/>
      <c r="I631" s="39"/>
      <c r="M631" s="39"/>
      <c r="N631" s="39"/>
      <c r="O631" s="39"/>
      <c r="U631" s="39"/>
      <c r="V631" s="39"/>
      <c r="W631" s="39"/>
      <c r="AC631" s="39"/>
      <c r="AD631" s="39"/>
      <c r="AE631" s="39"/>
      <c r="AK631" s="39"/>
      <c r="AL631" s="39"/>
      <c r="AM631" s="39"/>
      <c r="AS631" s="39"/>
      <c r="AT631" s="39"/>
      <c r="AU631" s="39"/>
      <c r="AZ631" s="40"/>
      <c r="BA631" s="39"/>
      <c r="BB631" s="39"/>
      <c r="BC631" s="39"/>
      <c r="BI631" s="39"/>
      <c r="BJ631" s="39"/>
      <c r="BK631" s="39"/>
      <c r="BQ631" s="39"/>
      <c r="BR631" s="39"/>
      <c r="BS631" s="39"/>
      <c r="BY631" s="39"/>
      <c r="BZ631" s="39"/>
      <c r="CA631" s="39"/>
      <c r="CG631" s="39"/>
      <c r="CH631" s="39"/>
      <c r="CI631" s="39"/>
    </row>
    <row r="632" spans="2:87" ht="15.75" customHeight="1">
      <c r="B632" s="2"/>
      <c r="C632" s="10"/>
      <c r="F632" s="39"/>
      <c r="G632" s="39"/>
      <c r="H632" s="39"/>
      <c r="I632" s="39"/>
      <c r="M632" s="39"/>
      <c r="N632" s="39"/>
      <c r="O632" s="39"/>
      <c r="U632" s="39"/>
      <c r="V632" s="39"/>
      <c r="W632" s="39"/>
      <c r="AC632" s="39"/>
      <c r="AD632" s="39"/>
      <c r="AE632" s="39"/>
      <c r="AK632" s="39"/>
      <c r="AL632" s="39"/>
      <c r="AM632" s="39"/>
      <c r="AS632" s="39"/>
      <c r="AT632" s="39"/>
      <c r="AU632" s="39"/>
      <c r="AZ632" s="40"/>
      <c r="BA632" s="39"/>
      <c r="BB632" s="39"/>
      <c r="BC632" s="39"/>
      <c r="BI632" s="39"/>
      <c r="BJ632" s="39"/>
      <c r="BK632" s="39"/>
      <c r="BQ632" s="39"/>
      <c r="BR632" s="39"/>
      <c r="BS632" s="39"/>
      <c r="BY632" s="39"/>
      <c r="BZ632" s="39"/>
      <c r="CA632" s="39"/>
      <c r="CG632" s="39"/>
      <c r="CH632" s="39"/>
      <c r="CI632" s="39"/>
    </row>
    <row r="633" spans="2:87" ht="15.75" customHeight="1">
      <c r="B633" s="2"/>
      <c r="C633" s="10"/>
      <c r="F633" s="39"/>
      <c r="G633" s="39"/>
      <c r="H633" s="39"/>
      <c r="I633" s="39"/>
      <c r="M633" s="39"/>
      <c r="N633" s="39"/>
      <c r="O633" s="39"/>
      <c r="U633" s="39"/>
      <c r="V633" s="39"/>
      <c r="W633" s="39"/>
      <c r="AC633" s="39"/>
      <c r="AD633" s="39"/>
      <c r="AE633" s="39"/>
      <c r="AK633" s="39"/>
      <c r="AL633" s="39"/>
      <c r="AM633" s="39"/>
      <c r="AS633" s="39"/>
      <c r="AT633" s="39"/>
      <c r="AU633" s="39"/>
      <c r="AZ633" s="40"/>
      <c r="BA633" s="39"/>
      <c r="BB633" s="39"/>
      <c r="BC633" s="39"/>
      <c r="BI633" s="39"/>
      <c r="BJ633" s="39"/>
      <c r="BK633" s="39"/>
      <c r="BQ633" s="39"/>
      <c r="BR633" s="39"/>
      <c r="BS633" s="39"/>
      <c r="BY633" s="39"/>
      <c r="BZ633" s="39"/>
      <c r="CA633" s="39"/>
      <c r="CG633" s="39"/>
      <c r="CH633" s="39"/>
      <c r="CI633" s="39"/>
    </row>
    <row r="634" spans="2:87" ht="15.75" customHeight="1">
      <c r="B634" s="2"/>
      <c r="C634" s="10"/>
      <c r="F634" s="39"/>
      <c r="G634" s="39"/>
      <c r="H634" s="39"/>
      <c r="I634" s="39"/>
      <c r="M634" s="39"/>
      <c r="N634" s="39"/>
      <c r="O634" s="39"/>
      <c r="U634" s="39"/>
      <c r="V634" s="39"/>
      <c r="W634" s="39"/>
      <c r="AC634" s="39"/>
      <c r="AD634" s="39"/>
      <c r="AE634" s="39"/>
      <c r="AK634" s="39"/>
      <c r="AL634" s="39"/>
      <c r="AM634" s="39"/>
      <c r="AS634" s="39"/>
      <c r="AT634" s="39"/>
      <c r="AU634" s="39"/>
      <c r="AZ634" s="40"/>
      <c r="BA634" s="39"/>
      <c r="BB634" s="39"/>
      <c r="BC634" s="39"/>
      <c r="BI634" s="39"/>
      <c r="BJ634" s="39"/>
      <c r="BK634" s="39"/>
      <c r="BQ634" s="39"/>
      <c r="BR634" s="39"/>
      <c r="BS634" s="39"/>
      <c r="BY634" s="39"/>
      <c r="BZ634" s="39"/>
      <c r="CA634" s="39"/>
      <c r="CG634" s="39"/>
      <c r="CH634" s="39"/>
      <c r="CI634" s="39"/>
    </row>
    <row r="635" spans="2:87" ht="15.75" customHeight="1">
      <c r="B635" s="2"/>
      <c r="C635" s="10"/>
      <c r="F635" s="39"/>
      <c r="G635" s="39"/>
      <c r="H635" s="39"/>
      <c r="I635" s="39"/>
      <c r="M635" s="39"/>
      <c r="N635" s="39"/>
      <c r="O635" s="39"/>
      <c r="U635" s="39"/>
      <c r="V635" s="39"/>
      <c r="W635" s="39"/>
      <c r="AC635" s="39"/>
      <c r="AD635" s="39"/>
      <c r="AE635" s="39"/>
      <c r="AK635" s="39"/>
      <c r="AL635" s="39"/>
      <c r="AM635" s="39"/>
      <c r="AS635" s="39"/>
      <c r="AT635" s="39"/>
      <c r="AU635" s="39"/>
      <c r="AZ635" s="40"/>
      <c r="BA635" s="39"/>
      <c r="BB635" s="39"/>
      <c r="BC635" s="39"/>
      <c r="BI635" s="39"/>
      <c r="BJ635" s="39"/>
      <c r="BK635" s="39"/>
      <c r="BQ635" s="39"/>
      <c r="BR635" s="39"/>
      <c r="BS635" s="39"/>
      <c r="BY635" s="39"/>
      <c r="BZ635" s="39"/>
      <c r="CA635" s="39"/>
      <c r="CG635" s="39"/>
      <c r="CH635" s="39"/>
      <c r="CI635" s="39"/>
    </row>
    <row r="636" spans="2:87" ht="15.75" customHeight="1">
      <c r="B636" s="2"/>
      <c r="C636" s="10"/>
      <c r="F636" s="39"/>
      <c r="G636" s="39"/>
      <c r="H636" s="39"/>
      <c r="I636" s="39"/>
      <c r="M636" s="39"/>
      <c r="N636" s="39"/>
      <c r="O636" s="39"/>
      <c r="U636" s="39"/>
      <c r="V636" s="39"/>
      <c r="W636" s="39"/>
      <c r="AC636" s="39"/>
      <c r="AD636" s="39"/>
      <c r="AE636" s="39"/>
      <c r="AK636" s="39"/>
      <c r="AL636" s="39"/>
      <c r="AM636" s="39"/>
      <c r="AS636" s="39"/>
      <c r="AT636" s="39"/>
      <c r="AU636" s="39"/>
      <c r="AZ636" s="40"/>
      <c r="BA636" s="39"/>
      <c r="BB636" s="39"/>
      <c r="BC636" s="39"/>
      <c r="BI636" s="39"/>
      <c r="BJ636" s="39"/>
      <c r="BK636" s="39"/>
      <c r="BQ636" s="39"/>
      <c r="BR636" s="39"/>
      <c r="BS636" s="39"/>
      <c r="BY636" s="39"/>
      <c r="BZ636" s="39"/>
      <c r="CA636" s="39"/>
      <c r="CG636" s="39"/>
      <c r="CH636" s="39"/>
      <c r="CI636" s="39"/>
    </row>
    <row r="637" spans="2:87" ht="15.75" customHeight="1">
      <c r="B637" s="2"/>
      <c r="C637" s="10"/>
      <c r="F637" s="39"/>
      <c r="G637" s="39"/>
      <c r="H637" s="39"/>
      <c r="I637" s="39"/>
      <c r="M637" s="39"/>
      <c r="N637" s="39"/>
      <c r="O637" s="39"/>
      <c r="U637" s="39"/>
      <c r="V637" s="39"/>
      <c r="W637" s="39"/>
      <c r="AC637" s="39"/>
      <c r="AD637" s="39"/>
      <c r="AE637" s="39"/>
      <c r="AK637" s="39"/>
      <c r="AL637" s="39"/>
      <c r="AM637" s="39"/>
      <c r="AS637" s="39"/>
      <c r="AT637" s="39"/>
      <c r="AU637" s="39"/>
      <c r="AZ637" s="40"/>
      <c r="BA637" s="39"/>
      <c r="BB637" s="39"/>
      <c r="BC637" s="39"/>
      <c r="BI637" s="39"/>
      <c r="BJ637" s="39"/>
      <c r="BK637" s="39"/>
      <c r="BQ637" s="39"/>
      <c r="BR637" s="39"/>
      <c r="BS637" s="39"/>
      <c r="BY637" s="39"/>
      <c r="BZ637" s="39"/>
      <c r="CA637" s="39"/>
      <c r="CG637" s="39"/>
      <c r="CH637" s="39"/>
      <c r="CI637" s="39"/>
    </row>
    <row r="638" spans="2:87" ht="15.75" customHeight="1">
      <c r="B638" s="2"/>
      <c r="C638" s="10"/>
      <c r="F638" s="39"/>
      <c r="G638" s="39"/>
      <c r="H638" s="39"/>
      <c r="I638" s="39"/>
      <c r="M638" s="39"/>
      <c r="N638" s="39"/>
      <c r="O638" s="39"/>
      <c r="U638" s="39"/>
      <c r="V638" s="39"/>
      <c r="W638" s="39"/>
      <c r="AC638" s="39"/>
      <c r="AD638" s="39"/>
      <c r="AE638" s="39"/>
      <c r="AK638" s="39"/>
      <c r="AL638" s="39"/>
      <c r="AM638" s="39"/>
      <c r="AS638" s="39"/>
      <c r="AT638" s="39"/>
      <c r="AU638" s="39"/>
      <c r="AZ638" s="40"/>
      <c r="BA638" s="39"/>
      <c r="BB638" s="39"/>
      <c r="BC638" s="39"/>
      <c r="BI638" s="39"/>
      <c r="BJ638" s="39"/>
      <c r="BK638" s="39"/>
      <c r="BQ638" s="39"/>
      <c r="BR638" s="39"/>
      <c r="BS638" s="39"/>
      <c r="BY638" s="39"/>
      <c r="BZ638" s="39"/>
      <c r="CA638" s="39"/>
      <c r="CG638" s="39"/>
      <c r="CH638" s="39"/>
      <c r="CI638" s="39"/>
    </row>
    <row r="639" spans="2:87" ht="15.75" customHeight="1">
      <c r="B639" s="2"/>
      <c r="C639" s="10"/>
      <c r="F639" s="39"/>
      <c r="G639" s="39"/>
      <c r="H639" s="39"/>
      <c r="I639" s="39"/>
      <c r="M639" s="39"/>
      <c r="N639" s="39"/>
      <c r="O639" s="39"/>
      <c r="U639" s="39"/>
      <c r="V639" s="39"/>
      <c r="W639" s="39"/>
      <c r="AC639" s="39"/>
      <c r="AD639" s="39"/>
      <c r="AE639" s="39"/>
      <c r="AK639" s="39"/>
      <c r="AL639" s="39"/>
      <c r="AM639" s="39"/>
      <c r="AS639" s="39"/>
      <c r="AT639" s="39"/>
      <c r="AU639" s="39"/>
      <c r="AZ639" s="40"/>
      <c r="BA639" s="39"/>
      <c r="BB639" s="39"/>
      <c r="BC639" s="39"/>
      <c r="BI639" s="39"/>
      <c r="BJ639" s="39"/>
      <c r="BK639" s="39"/>
      <c r="BQ639" s="39"/>
      <c r="BR639" s="39"/>
      <c r="BS639" s="39"/>
      <c r="BY639" s="39"/>
      <c r="BZ639" s="39"/>
      <c r="CA639" s="39"/>
      <c r="CG639" s="39"/>
      <c r="CH639" s="39"/>
      <c r="CI639" s="39"/>
    </row>
    <row r="640" spans="2:87" ht="15.75" customHeight="1">
      <c r="B640" s="2"/>
      <c r="C640" s="10"/>
      <c r="F640" s="39"/>
      <c r="G640" s="39"/>
      <c r="H640" s="39"/>
      <c r="I640" s="39"/>
      <c r="M640" s="39"/>
      <c r="N640" s="39"/>
      <c r="O640" s="39"/>
      <c r="U640" s="39"/>
      <c r="V640" s="39"/>
      <c r="W640" s="39"/>
      <c r="AC640" s="39"/>
      <c r="AD640" s="39"/>
      <c r="AE640" s="39"/>
      <c r="AK640" s="39"/>
      <c r="AL640" s="39"/>
      <c r="AM640" s="39"/>
      <c r="AS640" s="39"/>
      <c r="AT640" s="39"/>
      <c r="AU640" s="39"/>
      <c r="AZ640" s="40"/>
      <c r="BA640" s="39"/>
      <c r="BB640" s="39"/>
      <c r="BC640" s="39"/>
      <c r="BI640" s="39"/>
      <c r="BJ640" s="39"/>
      <c r="BK640" s="39"/>
      <c r="BQ640" s="39"/>
      <c r="BR640" s="39"/>
      <c r="BS640" s="39"/>
      <c r="BY640" s="39"/>
      <c r="BZ640" s="39"/>
      <c r="CA640" s="39"/>
      <c r="CG640" s="39"/>
      <c r="CH640" s="39"/>
      <c r="CI640" s="39"/>
    </row>
    <row r="641" spans="2:87" ht="15.75" customHeight="1">
      <c r="B641" s="2"/>
      <c r="C641" s="10"/>
      <c r="F641" s="39"/>
      <c r="G641" s="39"/>
      <c r="H641" s="39"/>
      <c r="I641" s="39"/>
      <c r="M641" s="39"/>
      <c r="N641" s="39"/>
      <c r="O641" s="39"/>
      <c r="U641" s="39"/>
      <c r="V641" s="39"/>
      <c r="W641" s="39"/>
      <c r="AC641" s="39"/>
      <c r="AD641" s="39"/>
      <c r="AE641" s="39"/>
      <c r="AK641" s="39"/>
      <c r="AL641" s="39"/>
      <c r="AM641" s="39"/>
      <c r="AS641" s="39"/>
      <c r="AT641" s="39"/>
      <c r="AU641" s="39"/>
      <c r="AZ641" s="40"/>
      <c r="BA641" s="39"/>
      <c r="BB641" s="39"/>
      <c r="BC641" s="39"/>
      <c r="BI641" s="39"/>
      <c r="BJ641" s="39"/>
      <c r="BK641" s="39"/>
      <c r="BQ641" s="39"/>
      <c r="BR641" s="39"/>
      <c r="BS641" s="39"/>
      <c r="BY641" s="39"/>
      <c r="BZ641" s="39"/>
      <c r="CA641" s="39"/>
      <c r="CG641" s="39"/>
      <c r="CH641" s="39"/>
      <c r="CI641" s="39"/>
    </row>
    <row r="642" spans="2:87" ht="15.75" customHeight="1">
      <c r="B642" s="2"/>
      <c r="C642" s="10"/>
      <c r="F642" s="39"/>
      <c r="G642" s="39"/>
      <c r="H642" s="39"/>
      <c r="I642" s="39"/>
      <c r="M642" s="39"/>
      <c r="N642" s="39"/>
      <c r="O642" s="39"/>
      <c r="U642" s="39"/>
      <c r="V642" s="39"/>
      <c r="W642" s="39"/>
      <c r="AC642" s="39"/>
      <c r="AD642" s="39"/>
      <c r="AE642" s="39"/>
      <c r="AK642" s="39"/>
      <c r="AL642" s="39"/>
      <c r="AM642" s="39"/>
      <c r="AS642" s="39"/>
      <c r="AT642" s="39"/>
      <c r="AU642" s="39"/>
      <c r="AZ642" s="40"/>
      <c r="BA642" s="39"/>
      <c r="BB642" s="39"/>
      <c r="BC642" s="39"/>
      <c r="BI642" s="39"/>
      <c r="BJ642" s="39"/>
      <c r="BK642" s="39"/>
      <c r="BQ642" s="39"/>
      <c r="BR642" s="39"/>
      <c r="BS642" s="39"/>
      <c r="BY642" s="39"/>
      <c r="BZ642" s="39"/>
      <c r="CA642" s="39"/>
      <c r="CG642" s="39"/>
      <c r="CH642" s="39"/>
      <c r="CI642" s="39"/>
    </row>
    <row r="643" spans="2:87" ht="15.75" customHeight="1">
      <c r="B643" s="2"/>
      <c r="C643" s="10"/>
      <c r="F643" s="39"/>
      <c r="G643" s="39"/>
      <c r="H643" s="39"/>
      <c r="I643" s="39"/>
      <c r="M643" s="39"/>
      <c r="N643" s="39"/>
      <c r="O643" s="39"/>
      <c r="U643" s="39"/>
      <c r="V643" s="39"/>
      <c r="W643" s="39"/>
      <c r="AC643" s="39"/>
      <c r="AD643" s="39"/>
      <c r="AE643" s="39"/>
      <c r="AK643" s="39"/>
      <c r="AL643" s="39"/>
      <c r="AM643" s="39"/>
      <c r="AS643" s="39"/>
      <c r="AT643" s="39"/>
      <c r="AU643" s="39"/>
      <c r="AZ643" s="40"/>
      <c r="BA643" s="39"/>
      <c r="BB643" s="39"/>
      <c r="BC643" s="39"/>
      <c r="BI643" s="39"/>
      <c r="BJ643" s="39"/>
      <c r="BK643" s="39"/>
      <c r="BQ643" s="39"/>
      <c r="BR643" s="39"/>
      <c r="BS643" s="39"/>
      <c r="BY643" s="39"/>
      <c r="BZ643" s="39"/>
      <c r="CA643" s="39"/>
      <c r="CG643" s="39"/>
      <c r="CH643" s="39"/>
      <c r="CI643" s="39"/>
    </row>
    <row r="644" spans="2:87" ht="15.75" customHeight="1">
      <c r="B644" s="2"/>
      <c r="C644" s="10"/>
      <c r="F644" s="39"/>
      <c r="G644" s="39"/>
      <c r="H644" s="39"/>
      <c r="I644" s="39"/>
      <c r="M644" s="39"/>
      <c r="N644" s="39"/>
      <c r="O644" s="39"/>
      <c r="U644" s="39"/>
      <c r="V644" s="39"/>
      <c r="W644" s="39"/>
      <c r="AC644" s="39"/>
      <c r="AD644" s="39"/>
      <c r="AE644" s="39"/>
      <c r="AK644" s="39"/>
      <c r="AL644" s="39"/>
      <c r="AM644" s="39"/>
      <c r="AS644" s="39"/>
      <c r="AT644" s="39"/>
      <c r="AU644" s="39"/>
      <c r="AZ644" s="40"/>
      <c r="BA644" s="39"/>
      <c r="BB644" s="39"/>
      <c r="BC644" s="39"/>
      <c r="BI644" s="39"/>
      <c r="BJ644" s="39"/>
      <c r="BK644" s="39"/>
      <c r="BQ644" s="39"/>
      <c r="BR644" s="39"/>
      <c r="BS644" s="39"/>
      <c r="BY644" s="39"/>
      <c r="BZ644" s="39"/>
      <c r="CA644" s="39"/>
      <c r="CG644" s="39"/>
      <c r="CH644" s="39"/>
      <c r="CI644" s="39"/>
    </row>
    <row r="645" spans="2:87" ht="15.75" customHeight="1">
      <c r="B645" s="2"/>
      <c r="C645" s="10"/>
      <c r="F645" s="39"/>
      <c r="G645" s="39"/>
      <c r="H645" s="39"/>
      <c r="I645" s="39"/>
      <c r="M645" s="39"/>
      <c r="N645" s="39"/>
      <c r="O645" s="39"/>
      <c r="U645" s="39"/>
      <c r="V645" s="39"/>
      <c r="W645" s="39"/>
      <c r="AC645" s="39"/>
      <c r="AD645" s="39"/>
      <c r="AE645" s="39"/>
      <c r="AK645" s="39"/>
      <c r="AL645" s="39"/>
      <c r="AM645" s="39"/>
      <c r="AS645" s="39"/>
      <c r="AT645" s="39"/>
      <c r="AU645" s="39"/>
      <c r="AZ645" s="40"/>
      <c r="BA645" s="39"/>
      <c r="BB645" s="39"/>
      <c r="BC645" s="39"/>
      <c r="BI645" s="39"/>
      <c r="BJ645" s="39"/>
      <c r="BK645" s="39"/>
      <c r="BQ645" s="39"/>
      <c r="BR645" s="39"/>
      <c r="BS645" s="39"/>
      <c r="BY645" s="39"/>
      <c r="BZ645" s="39"/>
      <c r="CA645" s="39"/>
      <c r="CG645" s="39"/>
      <c r="CH645" s="39"/>
      <c r="CI645" s="39"/>
    </row>
    <row r="646" spans="2:87" ht="15.75" customHeight="1">
      <c r="B646" s="2"/>
      <c r="C646" s="10"/>
      <c r="F646" s="39"/>
      <c r="G646" s="39"/>
      <c r="H646" s="39"/>
      <c r="I646" s="39"/>
      <c r="M646" s="39"/>
      <c r="N646" s="39"/>
      <c r="O646" s="39"/>
      <c r="U646" s="39"/>
      <c r="V646" s="39"/>
      <c r="W646" s="39"/>
      <c r="AC646" s="39"/>
      <c r="AD646" s="39"/>
      <c r="AE646" s="39"/>
      <c r="AK646" s="39"/>
      <c r="AL646" s="39"/>
      <c r="AM646" s="39"/>
      <c r="AS646" s="39"/>
      <c r="AT646" s="39"/>
      <c r="AU646" s="39"/>
      <c r="AZ646" s="40"/>
      <c r="BA646" s="39"/>
      <c r="BB646" s="39"/>
      <c r="BC646" s="39"/>
      <c r="BI646" s="39"/>
      <c r="BJ646" s="39"/>
      <c r="BK646" s="39"/>
      <c r="BQ646" s="39"/>
      <c r="BR646" s="39"/>
      <c r="BS646" s="39"/>
      <c r="BY646" s="39"/>
      <c r="BZ646" s="39"/>
      <c r="CA646" s="39"/>
      <c r="CG646" s="39"/>
      <c r="CH646" s="39"/>
      <c r="CI646" s="39"/>
    </row>
    <row r="647" spans="2:87" ht="15.75" customHeight="1">
      <c r="B647" s="2"/>
      <c r="C647" s="10"/>
      <c r="F647" s="39"/>
      <c r="G647" s="39"/>
      <c r="H647" s="39"/>
      <c r="I647" s="39"/>
      <c r="M647" s="39"/>
      <c r="N647" s="39"/>
      <c r="O647" s="39"/>
      <c r="U647" s="39"/>
      <c r="V647" s="39"/>
      <c r="W647" s="39"/>
      <c r="AC647" s="39"/>
      <c r="AD647" s="39"/>
      <c r="AE647" s="39"/>
      <c r="AK647" s="39"/>
      <c r="AL647" s="39"/>
      <c r="AM647" s="39"/>
      <c r="AS647" s="39"/>
      <c r="AT647" s="39"/>
      <c r="AU647" s="39"/>
      <c r="AZ647" s="40"/>
      <c r="BA647" s="39"/>
      <c r="BB647" s="39"/>
      <c r="BC647" s="39"/>
      <c r="BI647" s="39"/>
      <c r="BJ647" s="39"/>
      <c r="BK647" s="39"/>
      <c r="BQ647" s="39"/>
      <c r="BR647" s="39"/>
      <c r="BS647" s="39"/>
      <c r="BY647" s="39"/>
      <c r="BZ647" s="39"/>
      <c r="CA647" s="39"/>
      <c r="CG647" s="39"/>
      <c r="CH647" s="39"/>
      <c r="CI647" s="39"/>
    </row>
    <row r="648" spans="2:87" ht="15.75" customHeight="1">
      <c r="B648" s="2"/>
      <c r="C648" s="10"/>
      <c r="F648" s="39"/>
      <c r="G648" s="39"/>
      <c r="H648" s="39"/>
      <c r="I648" s="39"/>
      <c r="M648" s="39"/>
      <c r="N648" s="39"/>
      <c r="O648" s="39"/>
      <c r="U648" s="39"/>
      <c r="V648" s="39"/>
      <c r="W648" s="39"/>
      <c r="AC648" s="39"/>
      <c r="AD648" s="39"/>
      <c r="AE648" s="39"/>
      <c r="AK648" s="39"/>
      <c r="AL648" s="39"/>
      <c r="AM648" s="39"/>
      <c r="AS648" s="39"/>
      <c r="AT648" s="39"/>
      <c r="AU648" s="39"/>
      <c r="AZ648" s="40"/>
      <c r="BA648" s="39"/>
      <c r="BB648" s="39"/>
      <c r="BC648" s="39"/>
      <c r="BI648" s="39"/>
      <c r="BJ648" s="39"/>
      <c r="BK648" s="39"/>
      <c r="BQ648" s="39"/>
      <c r="BR648" s="39"/>
      <c r="BS648" s="39"/>
      <c r="BY648" s="39"/>
      <c r="BZ648" s="39"/>
      <c r="CA648" s="39"/>
      <c r="CG648" s="39"/>
      <c r="CH648" s="39"/>
      <c r="CI648" s="39"/>
    </row>
    <row r="649" spans="2:87" ht="15.75" customHeight="1">
      <c r="B649" s="2"/>
      <c r="C649" s="10"/>
      <c r="F649" s="39"/>
      <c r="G649" s="39"/>
      <c r="H649" s="39"/>
      <c r="I649" s="39"/>
      <c r="M649" s="39"/>
      <c r="N649" s="39"/>
      <c r="O649" s="39"/>
      <c r="U649" s="39"/>
      <c r="V649" s="39"/>
      <c r="W649" s="39"/>
      <c r="AC649" s="39"/>
      <c r="AD649" s="39"/>
      <c r="AE649" s="39"/>
      <c r="AK649" s="39"/>
      <c r="AL649" s="39"/>
      <c r="AM649" s="39"/>
      <c r="AS649" s="39"/>
      <c r="AT649" s="39"/>
      <c r="AU649" s="39"/>
      <c r="AZ649" s="40"/>
      <c r="BA649" s="39"/>
      <c r="BB649" s="39"/>
      <c r="BC649" s="39"/>
      <c r="BI649" s="39"/>
      <c r="BJ649" s="39"/>
      <c r="BK649" s="39"/>
      <c r="BQ649" s="39"/>
      <c r="BR649" s="39"/>
      <c r="BS649" s="39"/>
      <c r="BY649" s="39"/>
      <c r="BZ649" s="39"/>
      <c r="CA649" s="39"/>
      <c r="CG649" s="39"/>
      <c r="CH649" s="39"/>
      <c r="CI649" s="39"/>
    </row>
    <row r="650" spans="2:87" ht="15.75" customHeight="1">
      <c r="B650" s="2"/>
      <c r="C650" s="10"/>
      <c r="F650" s="39"/>
      <c r="G650" s="39"/>
      <c r="H650" s="39"/>
      <c r="I650" s="39"/>
      <c r="M650" s="39"/>
      <c r="N650" s="39"/>
      <c r="O650" s="39"/>
      <c r="U650" s="39"/>
      <c r="V650" s="39"/>
      <c r="W650" s="39"/>
      <c r="AC650" s="39"/>
      <c r="AD650" s="39"/>
      <c r="AE650" s="39"/>
      <c r="AK650" s="39"/>
      <c r="AL650" s="39"/>
      <c r="AM650" s="39"/>
      <c r="AS650" s="39"/>
      <c r="AT650" s="39"/>
      <c r="AU650" s="39"/>
      <c r="AZ650" s="40"/>
      <c r="BA650" s="39"/>
      <c r="BB650" s="39"/>
      <c r="BC650" s="39"/>
      <c r="BI650" s="39"/>
      <c r="BJ650" s="39"/>
      <c r="BK650" s="39"/>
      <c r="BQ650" s="39"/>
      <c r="BR650" s="39"/>
      <c r="BS650" s="39"/>
      <c r="BY650" s="39"/>
      <c r="BZ650" s="39"/>
      <c r="CA650" s="39"/>
      <c r="CG650" s="39"/>
      <c r="CH650" s="39"/>
      <c r="CI650" s="39"/>
    </row>
    <row r="651" spans="2:87" ht="15.75" customHeight="1">
      <c r="B651" s="2"/>
      <c r="C651" s="10"/>
      <c r="F651" s="39"/>
      <c r="G651" s="39"/>
      <c r="H651" s="39"/>
      <c r="I651" s="39"/>
      <c r="M651" s="39"/>
      <c r="N651" s="39"/>
      <c r="O651" s="39"/>
      <c r="U651" s="39"/>
      <c r="V651" s="39"/>
      <c r="W651" s="39"/>
      <c r="AC651" s="39"/>
      <c r="AD651" s="39"/>
      <c r="AE651" s="39"/>
      <c r="AK651" s="39"/>
      <c r="AL651" s="39"/>
      <c r="AM651" s="39"/>
      <c r="AS651" s="39"/>
      <c r="AT651" s="39"/>
      <c r="AU651" s="39"/>
      <c r="AZ651" s="40"/>
      <c r="BA651" s="39"/>
      <c r="BB651" s="39"/>
      <c r="BC651" s="39"/>
      <c r="BI651" s="39"/>
      <c r="BJ651" s="39"/>
      <c r="BK651" s="39"/>
      <c r="BQ651" s="39"/>
      <c r="BR651" s="39"/>
      <c r="BS651" s="39"/>
      <c r="BY651" s="39"/>
      <c r="BZ651" s="39"/>
      <c r="CA651" s="39"/>
      <c r="CG651" s="39"/>
      <c r="CH651" s="39"/>
      <c r="CI651" s="39"/>
    </row>
    <row r="652" spans="2:87" ht="15.75" customHeight="1">
      <c r="B652" s="2"/>
      <c r="C652" s="10"/>
      <c r="F652" s="39"/>
      <c r="G652" s="39"/>
      <c r="H652" s="39"/>
      <c r="I652" s="39"/>
      <c r="M652" s="39"/>
      <c r="N652" s="39"/>
      <c r="O652" s="39"/>
      <c r="U652" s="39"/>
      <c r="V652" s="39"/>
      <c r="W652" s="39"/>
      <c r="AC652" s="39"/>
      <c r="AD652" s="39"/>
      <c r="AE652" s="39"/>
      <c r="AK652" s="39"/>
      <c r="AL652" s="39"/>
      <c r="AM652" s="39"/>
      <c r="AS652" s="39"/>
      <c r="AT652" s="39"/>
      <c r="AU652" s="39"/>
      <c r="AZ652" s="40"/>
      <c r="BA652" s="39"/>
      <c r="BB652" s="39"/>
      <c r="BC652" s="39"/>
      <c r="BI652" s="39"/>
      <c r="BJ652" s="39"/>
      <c r="BK652" s="39"/>
      <c r="BQ652" s="39"/>
      <c r="BR652" s="39"/>
      <c r="BS652" s="39"/>
      <c r="BY652" s="39"/>
      <c r="BZ652" s="39"/>
      <c r="CA652" s="39"/>
      <c r="CG652" s="39"/>
      <c r="CH652" s="39"/>
      <c r="CI652" s="39"/>
    </row>
    <row r="653" spans="2:87" ht="15.75" customHeight="1">
      <c r="B653" s="2"/>
      <c r="C653" s="10"/>
      <c r="F653" s="39"/>
      <c r="G653" s="39"/>
      <c r="H653" s="39"/>
      <c r="I653" s="39"/>
      <c r="M653" s="39"/>
      <c r="N653" s="39"/>
      <c r="O653" s="39"/>
      <c r="U653" s="39"/>
      <c r="V653" s="39"/>
      <c r="W653" s="39"/>
      <c r="AC653" s="39"/>
      <c r="AD653" s="39"/>
      <c r="AE653" s="39"/>
      <c r="AK653" s="39"/>
      <c r="AL653" s="39"/>
      <c r="AM653" s="39"/>
      <c r="AS653" s="39"/>
      <c r="AT653" s="39"/>
      <c r="AU653" s="39"/>
      <c r="AZ653" s="40"/>
      <c r="BA653" s="39"/>
      <c r="BB653" s="39"/>
      <c r="BC653" s="39"/>
      <c r="BI653" s="39"/>
      <c r="BJ653" s="39"/>
      <c r="BK653" s="39"/>
      <c r="BQ653" s="39"/>
      <c r="BR653" s="39"/>
      <c r="BS653" s="39"/>
      <c r="BY653" s="39"/>
      <c r="BZ653" s="39"/>
      <c r="CA653" s="39"/>
      <c r="CG653" s="39"/>
      <c r="CH653" s="39"/>
      <c r="CI653" s="39"/>
    </row>
    <row r="654" spans="2:87" ht="15.75" customHeight="1">
      <c r="B654" s="2"/>
      <c r="C654" s="10"/>
      <c r="F654" s="39"/>
      <c r="G654" s="39"/>
      <c r="H654" s="39"/>
      <c r="I654" s="39"/>
      <c r="M654" s="39"/>
      <c r="N654" s="39"/>
      <c r="O654" s="39"/>
      <c r="U654" s="39"/>
      <c r="V654" s="39"/>
      <c r="W654" s="39"/>
      <c r="AC654" s="39"/>
      <c r="AD654" s="39"/>
      <c r="AE654" s="39"/>
      <c r="AK654" s="39"/>
      <c r="AL654" s="39"/>
      <c r="AM654" s="39"/>
      <c r="AS654" s="39"/>
      <c r="AT654" s="39"/>
      <c r="AU654" s="39"/>
      <c r="AZ654" s="40"/>
      <c r="BA654" s="39"/>
      <c r="BB654" s="39"/>
      <c r="BC654" s="39"/>
      <c r="BI654" s="39"/>
      <c r="BJ654" s="39"/>
      <c r="BK654" s="39"/>
      <c r="BQ654" s="39"/>
      <c r="BR654" s="39"/>
      <c r="BS654" s="39"/>
      <c r="BY654" s="39"/>
      <c r="BZ654" s="39"/>
      <c r="CA654" s="39"/>
      <c r="CG654" s="39"/>
      <c r="CH654" s="39"/>
      <c r="CI654" s="39"/>
    </row>
    <row r="655" spans="2:87" ht="15.75" customHeight="1">
      <c r="B655" s="2"/>
      <c r="C655" s="10"/>
      <c r="F655" s="39"/>
      <c r="G655" s="39"/>
      <c r="H655" s="39"/>
      <c r="I655" s="39"/>
      <c r="M655" s="39"/>
      <c r="N655" s="39"/>
      <c r="O655" s="39"/>
      <c r="U655" s="39"/>
      <c r="V655" s="39"/>
      <c r="W655" s="39"/>
      <c r="AC655" s="39"/>
      <c r="AD655" s="39"/>
      <c r="AE655" s="39"/>
      <c r="AK655" s="39"/>
      <c r="AL655" s="39"/>
      <c r="AM655" s="39"/>
      <c r="AS655" s="39"/>
      <c r="AT655" s="39"/>
      <c r="AU655" s="39"/>
      <c r="AZ655" s="40"/>
      <c r="BA655" s="39"/>
      <c r="BB655" s="39"/>
      <c r="BC655" s="39"/>
      <c r="BI655" s="39"/>
      <c r="BJ655" s="39"/>
      <c r="BK655" s="39"/>
      <c r="BQ655" s="39"/>
      <c r="BR655" s="39"/>
      <c r="BS655" s="39"/>
      <c r="BY655" s="39"/>
      <c r="BZ655" s="39"/>
      <c r="CA655" s="39"/>
      <c r="CG655" s="39"/>
      <c r="CH655" s="39"/>
      <c r="CI655" s="39"/>
    </row>
    <row r="656" spans="2:87" ht="15.75" customHeight="1">
      <c r="B656" s="2"/>
      <c r="C656" s="10"/>
      <c r="F656" s="39"/>
      <c r="G656" s="39"/>
      <c r="H656" s="39"/>
      <c r="I656" s="39"/>
      <c r="M656" s="39"/>
      <c r="N656" s="39"/>
      <c r="O656" s="39"/>
      <c r="U656" s="39"/>
      <c r="V656" s="39"/>
      <c r="W656" s="39"/>
      <c r="AC656" s="39"/>
      <c r="AD656" s="39"/>
      <c r="AE656" s="39"/>
      <c r="AK656" s="39"/>
      <c r="AL656" s="39"/>
      <c r="AM656" s="39"/>
      <c r="AS656" s="39"/>
      <c r="AT656" s="39"/>
      <c r="AU656" s="39"/>
      <c r="AZ656" s="40"/>
      <c r="BA656" s="39"/>
      <c r="BB656" s="39"/>
      <c r="BC656" s="39"/>
      <c r="BI656" s="39"/>
      <c r="BJ656" s="39"/>
      <c r="BK656" s="39"/>
      <c r="BQ656" s="39"/>
      <c r="BR656" s="39"/>
      <c r="BS656" s="39"/>
      <c r="BY656" s="39"/>
      <c r="BZ656" s="39"/>
      <c r="CA656" s="39"/>
      <c r="CG656" s="39"/>
      <c r="CH656" s="39"/>
      <c r="CI656" s="39"/>
    </row>
    <row r="657" spans="2:87" ht="15.75" customHeight="1">
      <c r="B657" s="2"/>
      <c r="C657" s="10"/>
      <c r="F657" s="39"/>
      <c r="G657" s="39"/>
      <c r="H657" s="39"/>
      <c r="I657" s="39"/>
      <c r="M657" s="39"/>
      <c r="N657" s="39"/>
      <c r="O657" s="39"/>
      <c r="U657" s="39"/>
      <c r="V657" s="39"/>
      <c r="W657" s="39"/>
      <c r="AC657" s="39"/>
      <c r="AD657" s="39"/>
      <c r="AE657" s="39"/>
      <c r="AK657" s="39"/>
      <c r="AL657" s="39"/>
      <c r="AM657" s="39"/>
      <c r="AS657" s="39"/>
      <c r="AT657" s="39"/>
      <c r="AU657" s="39"/>
      <c r="AZ657" s="40"/>
      <c r="BA657" s="39"/>
      <c r="BB657" s="39"/>
      <c r="BC657" s="39"/>
      <c r="BI657" s="39"/>
      <c r="BJ657" s="39"/>
      <c r="BK657" s="39"/>
      <c r="BQ657" s="39"/>
      <c r="BR657" s="39"/>
      <c r="BS657" s="39"/>
      <c r="BY657" s="39"/>
      <c r="BZ657" s="39"/>
      <c r="CA657" s="39"/>
      <c r="CG657" s="39"/>
      <c r="CH657" s="39"/>
      <c r="CI657" s="39"/>
    </row>
    <row r="658" spans="2:87" ht="15.75" customHeight="1">
      <c r="B658" s="2"/>
      <c r="C658" s="10"/>
      <c r="F658" s="39"/>
      <c r="G658" s="39"/>
      <c r="H658" s="39"/>
      <c r="I658" s="39"/>
      <c r="M658" s="39"/>
      <c r="N658" s="39"/>
      <c r="O658" s="39"/>
      <c r="U658" s="39"/>
      <c r="V658" s="39"/>
      <c r="W658" s="39"/>
      <c r="AC658" s="39"/>
      <c r="AD658" s="39"/>
      <c r="AE658" s="39"/>
      <c r="AK658" s="39"/>
      <c r="AL658" s="39"/>
      <c r="AM658" s="39"/>
      <c r="AS658" s="39"/>
      <c r="AT658" s="39"/>
      <c r="AU658" s="39"/>
      <c r="AZ658" s="40"/>
      <c r="BA658" s="39"/>
      <c r="BB658" s="39"/>
      <c r="BC658" s="39"/>
      <c r="BI658" s="39"/>
      <c r="BJ658" s="39"/>
      <c r="BK658" s="39"/>
      <c r="BQ658" s="39"/>
      <c r="BR658" s="39"/>
      <c r="BS658" s="39"/>
      <c r="BY658" s="39"/>
      <c r="BZ658" s="39"/>
      <c r="CA658" s="39"/>
      <c r="CG658" s="39"/>
      <c r="CH658" s="39"/>
      <c r="CI658" s="39"/>
    </row>
    <row r="659" spans="2:87" ht="15.75" customHeight="1">
      <c r="B659" s="2"/>
      <c r="C659" s="10"/>
      <c r="F659" s="39"/>
      <c r="G659" s="39"/>
      <c r="H659" s="39"/>
      <c r="I659" s="39"/>
      <c r="M659" s="39"/>
      <c r="N659" s="39"/>
      <c r="O659" s="39"/>
      <c r="U659" s="39"/>
      <c r="V659" s="39"/>
      <c r="W659" s="39"/>
      <c r="AC659" s="39"/>
      <c r="AD659" s="39"/>
      <c r="AE659" s="39"/>
      <c r="AK659" s="39"/>
      <c r="AL659" s="39"/>
      <c r="AM659" s="39"/>
      <c r="AS659" s="39"/>
      <c r="AT659" s="39"/>
      <c r="AU659" s="39"/>
      <c r="AZ659" s="40"/>
      <c r="BA659" s="39"/>
      <c r="BB659" s="39"/>
      <c r="BC659" s="39"/>
      <c r="BI659" s="39"/>
      <c r="BJ659" s="39"/>
      <c r="BK659" s="39"/>
      <c r="BQ659" s="39"/>
      <c r="BR659" s="39"/>
      <c r="BS659" s="39"/>
      <c r="BY659" s="39"/>
      <c r="BZ659" s="39"/>
      <c r="CA659" s="39"/>
      <c r="CG659" s="39"/>
      <c r="CH659" s="39"/>
      <c r="CI659" s="39"/>
    </row>
    <row r="660" spans="2:87" ht="15.75" customHeight="1">
      <c r="B660" s="2"/>
      <c r="C660" s="10"/>
      <c r="F660" s="39"/>
      <c r="G660" s="39"/>
      <c r="H660" s="39"/>
      <c r="I660" s="39"/>
      <c r="M660" s="39"/>
      <c r="N660" s="39"/>
      <c r="O660" s="39"/>
      <c r="U660" s="39"/>
      <c r="V660" s="39"/>
      <c r="W660" s="39"/>
      <c r="AC660" s="39"/>
      <c r="AD660" s="39"/>
      <c r="AE660" s="39"/>
      <c r="AK660" s="39"/>
      <c r="AL660" s="39"/>
      <c r="AM660" s="39"/>
      <c r="AS660" s="39"/>
      <c r="AT660" s="39"/>
      <c r="AU660" s="39"/>
      <c r="AZ660" s="40"/>
      <c r="BA660" s="39"/>
      <c r="BB660" s="39"/>
      <c r="BC660" s="39"/>
      <c r="BI660" s="39"/>
      <c r="BJ660" s="39"/>
      <c r="BK660" s="39"/>
      <c r="BQ660" s="39"/>
      <c r="BR660" s="39"/>
      <c r="BS660" s="39"/>
      <c r="BY660" s="39"/>
      <c r="BZ660" s="39"/>
      <c r="CA660" s="39"/>
      <c r="CG660" s="39"/>
      <c r="CH660" s="39"/>
      <c r="CI660" s="39"/>
    </row>
    <row r="661" spans="2:87" ht="15.75" customHeight="1">
      <c r="B661" s="2"/>
      <c r="C661" s="10"/>
      <c r="F661" s="39"/>
      <c r="G661" s="39"/>
      <c r="H661" s="39"/>
      <c r="I661" s="39"/>
      <c r="M661" s="39"/>
      <c r="N661" s="39"/>
      <c r="O661" s="39"/>
      <c r="U661" s="39"/>
      <c r="V661" s="39"/>
      <c r="W661" s="39"/>
      <c r="AC661" s="39"/>
      <c r="AD661" s="39"/>
      <c r="AE661" s="39"/>
      <c r="AK661" s="39"/>
      <c r="AL661" s="39"/>
      <c r="AM661" s="39"/>
      <c r="AS661" s="39"/>
      <c r="AT661" s="39"/>
      <c r="AU661" s="39"/>
      <c r="AZ661" s="40"/>
      <c r="BA661" s="39"/>
      <c r="BB661" s="39"/>
      <c r="BC661" s="39"/>
      <c r="BI661" s="39"/>
      <c r="BJ661" s="39"/>
      <c r="BK661" s="39"/>
      <c r="BQ661" s="39"/>
      <c r="BR661" s="39"/>
      <c r="BS661" s="39"/>
      <c r="BY661" s="39"/>
      <c r="BZ661" s="39"/>
      <c r="CA661" s="39"/>
      <c r="CG661" s="39"/>
      <c r="CH661" s="39"/>
      <c r="CI661" s="39"/>
    </row>
    <row r="662" spans="2:87" ht="15.75" customHeight="1">
      <c r="B662" s="2"/>
      <c r="C662" s="10"/>
      <c r="F662" s="39"/>
      <c r="G662" s="39"/>
      <c r="H662" s="39"/>
      <c r="I662" s="39"/>
      <c r="M662" s="39"/>
      <c r="N662" s="39"/>
      <c r="O662" s="39"/>
      <c r="U662" s="39"/>
      <c r="V662" s="39"/>
      <c r="W662" s="39"/>
      <c r="AC662" s="39"/>
      <c r="AD662" s="39"/>
      <c r="AE662" s="39"/>
      <c r="AK662" s="39"/>
      <c r="AL662" s="39"/>
      <c r="AM662" s="39"/>
      <c r="AS662" s="39"/>
      <c r="AT662" s="39"/>
      <c r="AU662" s="39"/>
      <c r="AZ662" s="40"/>
      <c r="BA662" s="39"/>
      <c r="BB662" s="39"/>
      <c r="BC662" s="39"/>
      <c r="BI662" s="39"/>
      <c r="BJ662" s="39"/>
      <c r="BK662" s="39"/>
      <c r="BQ662" s="39"/>
      <c r="BR662" s="39"/>
      <c r="BS662" s="39"/>
      <c r="BY662" s="39"/>
      <c r="BZ662" s="39"/>
      <c r="CA662" s="39"/>
      <c r="CG662" s="39"/>
      <c r="CH662" s="39"/>
      <c r="CI662" s="39"/>
    </row>
    <row r="663" spans="2:87" ht="15.75" customHeight="1">
      <c r="B663" s="2"/>
      <c r="C663" s="10"/>
      <c r="F663" s="39"/>
      <c r="G663" s="39"/>
      <c r="H663" s="39"/>
      <c r="I663" s="39"/>
      <c r="M663" s="39"/>
      <c r="N663" s="39"/>
      <c r="O663" s="39"/>
      <c r="U663" s="39"/>
      <c r="V663" s="39"/>
      <c r="W663" s="39"/>
      <c r="AC663" s="39"/>
      <c r="AD663" s="39"/>
      <c r="AE663" s="39"/>
      <c r="AK663" s="39"/>
      <c r="AL663" s="39"/>
      <c r="AM663" s="39"/>
      <c r="AS663" s="39"/>
      <c r="AT663" s="39"/>
      <c r="AU663" s="39"/>
      <c r="AZ663" s="40"/>
      <c r="BA663" s="39"/>
      <c r="BB663" s="39"/>
      <c r="BC663" s="39"/>
      <c r="BI663" s="39"/>
      <c r="BJ663" s="39"/>
      <c r="BK663" s="39"/>
      <c r="BQ663" s="39"/>
      <c r="BR663" s="39"/>
      <c r="BS663" s="39"/>
      <c r="BY663" s="39"/>
      <c r="BZ663" s="39"/>
      <c r="CA663" s="39"/>
      <c r="CG663" s="39"/>
      <c r="CH663" s="39"/>
      <c r="CI663" s="39"/>
    </row>
    <row r="664" spans="2:87" ht="15.75" customHeight="1">
      <c r="B664" s="2"/>
      <c r="C664" s="10"/>
      <c r="F664" s="39"/>
      <c r="G664" s="39"/>
      <c r="H664" s="39"/>
      <c r="I664" s="39"/>
      <c r="M664" s="39"/>
      <c r="N664" s="39"/>
      <c r="O664" s="39"/>
      <c r="U664" s="39"/>
      <c r="V664" s="39"/>
      <c r="W664" s="39"/>
      <c r="AC664" s="39"/>
      <c r="AD664" s="39"/>
      <c r="AE664" s="39"/>
      <c r="AK664" s="39"/>
      <c r="AL664" s="39"/>
      <c r="AM664" s="39"/>
      <c r="AS664" s="39"/>
      <c r="AT664" s="39"/>
      <c r="AU664" s="39"/>
      <c r="AZ664" s="40"/>
      <c r="BA664" s="39"/>
      <c r="BB664" s="39"/>
      <c r="BC664" s="39"/>
      <c r="BI664" s="39"/>
      <c r="BJ664" s="39"/>
      <c r="BK664" s="39"/>
      <c r="BQ664" s="39"/>
      <c r="BR664" s="39"/>
      <c r="BS664" s="39"/>
      <c r="BY664" s="39"/>
      <c r="BZ664" s="39"/>
      <c r="CA664" s="39"/>
      <c r="CG664" s="39"/>
      <c r="CH664" s="39"/>
      <c r="CI664" s="39"/>
    </row>
    <row r="665" spans="2:87" ht="15.75" customHeight="1">
      <c r="B665" s="2"/>
      <c r="C665" s="10"/>
      <c r="F665" s="39"/>
      <c r="G665" s="39"/>
      <c r="H665" s="39"/>
      <c r="I665" s="39"/>
      <c r="M665" s="39"/>
      <c r="N665" s="39"/>
      <c r="O665" s="39"/>
      <c r="U665" s="39"/>
      <c r="V665" s="39"/>
      <c r="W665" s="39"/>
      <c r="AC665" s="39"/>
      <c r="AD665" s="39"/>
      <c r="AE665" s="39"/>
      <c r="AK665" s="39"/>
      <c r="AL665" s="39"/>
      <c r="AM665" s="39"/>
      <c r="AS665" s="39"/>
      <c r="AT665" s="39"/>
      <c r="AU665" s="39"/>
      <c r="AZ665" s="40"/>
      <c r="BA665" s="39"/>
      <c r="BB665" s="39"/>
      <c r="BC665" s="39"/>
      <c r="BI665" s="39"/>
      <c r="BJ665" s="39"/>
      <c r="BK665" s="39"/>
      <c r="BQ665" s="39"/>
      <c r="BR665" s="39"/>
      <c r="BS665" s="39"/>
      <c r="BY665" s="39"/>
      <c r="BZ665" s="39"/>
      <c r="CA665" s="39"/>
      <c r="CG665" s="39"/>
      <c r="CH665" s="39"/>
      <c r="CI665" s="39"/>
    </row>
    <row r="666" spans="2:87" ht="15.75" customHeight="1">
      <c r="B666" s="2"/>
      <c r="C666" s="10"/>
      <c r="F666" s="39"/>
      <c r="G666" s="39"/>
      <c r="H666" s="39"/>
      <c r="I666" s="39"/>
      <c r="M666" s="39"/>
      <c r="N666" s="39"/>
      <c r="O666" s="39"/>
      <c r="U666" s="39"/>
      <c r="V666" s="39"/>
      <c r="W666" s="39"/>
      <c r="AC666" s="39"/>
      <c r="AD666" s="39"/>
      <c r="AE666" s="39"/>
      <c r="AK666" s="39"/>
      <c r="AL666" s="39"/>
      <c r="AM666" s="39"/>
      <c r="AS666" s="39"/>
      <c r="AT666" s="39"/>
      <c r="AU666" s="39"/>
      <c r="AZ666" s="40"/>
      <c r="BA666" s="39"/>
      <c r="BB666" s="39"/>
      <c r="BC666" s="39"/>
      <c r="BI666" s="39"/>
      <c r="BJ666" s="39"/>
      <c r="BK666" s="39"/>
      <c r="BQ666" s="39"/>
      <c r="BR666" s="39"/>
      <c r="BS666" s="39"/>
      <c r="BY666" s="39"/>
      <c r="BZ666" s="39"/>
      <c r="CA666" s="39"/>
      <c r="CG666" s="39"/>
      <c r="CH666" s="39"/>
      <c r="CI666" s="39"/>
    </row>
    <row r="667" spans="2:87" ht="15.75" customHeight="1">
      <c r="B667" s="2"/>
      <c r="C667" s="10"/>
      <c r="F667" s="39"/>
      <c r="G667" s="39"/>
      <c r="H667" s="39"/>
      <c r="I667" s="39"/>
      <c r="M667" s="39"/>
      <c r="N667" s="39"/>
      <c r="O667" s="39"/>
      <c r="U667" s="39"/>
      <c r="V667" s="39"/>
      <c r="W667" s="39"/>
      <c r="AC667" s="39"/>
      <c r="AD667" s="39"/>
      <c r="AE667" s="39"/>
      <c r="AK667" s="39"/>
      <c r="AL667" s="39"/>
      <c r="AM667" s="39"/>
      <c r="AS667" s="39"/>
      <c r="AT667" s="39"/>
      <c r="AU667" s="39"/>
      <c r="AZ667" s="40"/>
      <c r="BA667" s="39"/>
      <c r="BB667" s="39"/>
      <c r="BC667" s="39"/>
      <c r="BI667" s="39"/>
      <c r="BJ667" s="39"/>
      <c r="BK667" s="39"/>
      <c r="BQ667" s="39"/>
      <c r="BR667" s="39"/>
      <c r="BS667" s="39"/>
      <c r="BY667" s="39"/>
      <c r="BZ667" s="39"/>
      <c r="CA667" s="39"/>
      <c r="CG667" s="39"/>
      <c r="CH667" s="39"/>
      <c r="CI667" s="39"/>
    </row>
    <row r="668" spans="2:87" ht="15.75" customHeight="1">
      <c r="B668" s="2"/>
      <c r="C668" s="10"/>
      <c r="F668" s="39"/>
      <c r="G668" s="39"/>
      <c r="H668" s="39"/>
      <c r="I668" s="39"/>
      <c r="M668" s="39"/>
      <c r="N668" s="39"/>
      <c r="O668" s="39"/>
      <c r="U668" s="39"/>
      <c r="V668" s="39"/>
      <c r="W668" s="39"/>
      <c r="AC668" s="39"/>
      <c r="AD668" s="39"/>
      <c r="AE668" s="39"/>
      <c r="AK668" s="39"/>
      <c r="AL668" s="39"/>
      <c r="AM668" s="39"/>
      <c r="AS668" s="39"/>
      <c r="AT668" s="39"/>
      <c r="AU668" s="39"/>
      <c r="AZ668" s="40"/>
      <c r="BA668" s="39"/>
      <c r="BB668" s="39"/>
      <c r="BC668" s="39"/>
      <c r="BI668" s="39"/>
      <c r="BJ668" s="39"/>
      <c r="BK668" s="39"/>
      <c r="BQ668" s="39"/>
      <c r="BR668" s="39"/>
      <c r="BS668" s="39"/>
      <c r="BY668" s="39"/>
      <c r="BZ668" s="39"/>
      <c r="CA668" s="39"/>
      <c r="CG668" s="39"/>
      <c r="CH668" s="39"/>
      <c r="CI668" s="39"/>
    </row>
    <row r="669" spans="2:87" ht="15.75" customHeight="1">
      <c r="B669" s="2"/>
      <c r="C669" s="10"/>
      <c r="F669" s="39"/>
      <c r="G669" s="39"/>
      <c r="H669" s="39"/>
      <c r="I669" s="39"/>
      <c r="M669" s="39"/>
      <c r="N669" s="39"/>
      <c r="O669" s="39"/>
      <c r="U669" s="39"/>
      <c r="V669" s="39"/>
      <c r="W669" s="39"/>
      <c r="AC669" s="39"/>
      <c r="AD669" s="39"/>
      <c r="AE669" s="39"/>
      <c r="AK669" s="39"/>
      <c r="AL669" s="39"/>
      <c r="AM669" s="39"/>
      <c r="AS669" s="39"/>
      <c r="AT669" s="39"/>
      <c r="AU669" s="39"/>
      <c r="AZ669" s="40"/>
      <c r="BA669" s="39"/>
      <c r="BB669" s="39"/>
      <c r="BC669" s="39"/>
      <c r="BI669" s="39"/>
      <c r="BJ669" s="39"/>
      <c r="BK669" s="39"/>
      <c r="BQ669" s="39"/>
      <c r="BR669" s="39"/>
      <c r="BS669" s="39"/>
      <c r="BY669" s="39"/>
      <c r="BZ669" s="39"/>
      <c r="CA669" s="39"/>
      <c r="CG669" s="39"/>
      <c r="CH669" s="39"/>
      <c r="CI669" s="39"/>
    </row>
    <row r="670" spans="2:87" ht="15.75" customHeight="1">
      <c r="B670" s="2"/>
      <c r="C670" s="10"/>
      <c r="F670" s="39"/>
      <c r="G670" s="39"/>
      <c r="H670" s="39"/>
      <c r="I670" s="39"/>
      <c r="M670" s="39"/>
      <c r="N670" s="39"/>
      <c r="O670" s="39"/>
      <c r="U670" s="39"/>
      <c r="V670" s="39"/>
      <c r="W670" s="39"/>
      <c r="AC670" s="39"/>
      <c r="AD670" s="39"/>
      <c r="AE670" s="39"/>
      <c r="AK670" s="39"/>
      <c r="AL670" s="39"/>
      <c r="AM670" s="39"/>
      <c r="AS670" s="39"/>
      <c r="AT670" s="39"/>
      <c r="AU670" s="39"/>
      <c r="AZ670" s="40"/>
      <c r="BA670" s="39"/>
      <c r="BB670" s="39"/>
      <c r="BC670" s="39"/>
      <c r="BI670" s="39"/>
      <c r="BJ670" s="39"/>
      <c r="BK670" s="39"/>
      <c r="BQ670" s="39"/>
      <c r="BR670" s="39"/>
      <c r="BS670" s="39"/>
      <c r="BY670" s="39"/>
      <c r="BZ670" s="39"/>
      <c r="CA670" s="39"/>
      <c r="CG670" s="39"/>
      <c r="CH670" s="39"/>
      <c r="CI670" s="39"/>
    </row>
    <row r="671" spans="2:87" ht="15.75" customHeight="1">
      <c r="B671" s="2"/>
      <c r="C671" s="10"/>
      <c r="F671" s="39"/>
      <c r="G671" s="39"/>
      <c r="H671" s="39"/>
      <c r="I671" s="39"/>
      <c r="M671" s="39"/>
      <c r="N671" s="39"/>
      <c r="O671" s="39"/>
      <c r="U671" s="39"/>
      <c r="V671" s="39"/>
      <c r="W671" s="39"/>
      <c r="AC671" s="39"/>
      <c r="AD671" s="39"/>
      <c r="AE671" s="39"/>
      <c r="AK671" s="39"/>
      <c r="AL671" s="39"/>
      <c r="AM671" s="39"/>
      <c r="AS671" s="39"/>
      <c r="AT671" s="39"/>
      <c r="AU671" s="39"/>
      <c r="AZ671" s="40"/>
      <c r="BA671" s="39"/>
      <c r="BB671" s="39"/>
      <c r="BC671" s="39"/>
      <c r="BI671" s="39"/>
      <c r="BJ671" s="39"/>
      <c r="BK671" s="39"/>
      <c r="BQ671" s="39"/>
      <c r="BR671" s="39"/>
      <c r="BS671" s="39"/>
      <c r="BY671" s="39"/>
      <c r="BZ671" s="39"/>
      <c r="CA671" s="39"/>
      <c r="CG671" s="39"/>
      <c r="CH671" s="39"/>
      <c r="CI671" s="39"/>
    </row>
    <row r="672" spans="2:87" ht="15.75" customHeight="1">
      <c r="B672" s="2"/>
      <c r="C672" s="10"/>
      <c r="F672" s="39"/>
      <c r="G672" s="39"/>
      <c r="H672" s="39"/>
      <c r="I672" s="39"/>
      <c r="M672" s="39"/>
      <c r="N672" s="39"/>
      <c r="O672" s="39"/>
      <c r="U672" s="39"/>
      <c r="V672" s="39"/>
      <c r="W672" s="39"/>
      <c r="AC672" s="39"/>
      <c r="AD672" s="39"/>
      <c r="AE672" s="39"/>
      <c r="AK672" s="39"/>
      <c r="AL672" s="39"/>
      <c r="AM672" s="39"/>
      <c r="AS672" s="39"/>
      <c r="AT672" s="39"/>
      <c r="AU672" s="39"/>
      <c r="AZ672" s="40"/>
      <c r="BA672" s="39"/>
      <c r="BB672" s="39"/>
      <c r="BC672" s="39"/>
      <c r="BI672" s="39"/>
      <c r="BJ672" s="39"/>
      <c r="BK672" s="39"/>
      <c r="BQ672" s="39"/>
      <c r="BR672" s="39"/>
      <c r="BS672" s="39"/>
      <c r="BY672" s="39"/>
      <c r="BZ672" s="39"/>
      <c r="CA672" s="39"/>
      <c r="CG672" s="39"/>
      <c r="CH672" s="39"/>
      <c r="CI672" s="39"/>
    </row>
    <row r="673" spans="2:87" ht="15.75" customHeight="1">
      <c r="B673" s="2"/>
      <c r="C673" s="10"/>
      <c r="F673" s="39"/>
      <c r="G673" s="39"/>
      <c r="H673" s="39"/>
      <c r="I673" s="39"/>
      <c r="M673" s="39"/>
      <c r="N673" s="39"/>
      <c r="O673" s="39"/>
      <c r="U673" s="39"/>
      <c r="V673" s="39"/>
      <c r="W673" s="39"/>
      <c r="AC673" s="39"/>
      <c r="AD673" s="39"/>
      <c r="AE673" s="39"/>
      <c r="AK673" s="39"/>
      <c r="AL673" s="39"/>
      <c r="AM673" s="39"/>
      <c r="AS673" s="39"/>
      <c r="AT673" s="39"/>
      <c r="AU673" s="39"/>
      <c r="AZ673" s="40"/>
      <c r="BA673" s="39"/>
      <c r="BB673" s="39"/>
      <c r="BC673" s="39"/>
      <c r="BI673" s="39"/>
      <c r="BJ673" s="39"/>
      <c r="BK673" s="39"/>
      <c r="BQ673" s="39"/>
      <c r="BR673" s="39"/>
      <c r="BS673" s="39"/>
      <c r="BY673" s="39"/>
      <c r="BZ673" s="39"/>
      <c r="CA673" s="39"/>
      <c r="CG673" s="39"/>
      <c r="CH673" s="39"/>
      <c r="CI673" s="39"/>
    </row>
    <row r="674" spans="2:87" ht="15.75" customHeight="1">
      <c r="B674" s="2"/>
      <c r="C674" s="10"/>
      <c r="F674" s="39"/>
      <c r="G674" s="39"/>
      <c r="H674" s="39"/>
      <c r="I674" s="39"/>
      <c r="M674" s="39"/>
      <c r="N674" s="39"/>
      <c r="O674" s="39"/>
      <c r="U674" s="39"/>
      <c r="V674" s="39"/>
      <c r="W674" s="39"/>
      <c r="AC674" s="39"/>
      <c r="AD674" s="39"/>
      <c r="AE674" s="39"/>
      <c r="AK674" s="39"/>
      <c r="AL674" s="39"/>
      <c r="AM674" s="39"/>
      <c r="AS674" s="39"/>
      <c r="AT674" s="39"/>
      <c r="AU674" s="39"/>
      <c r="AZ674" s="40"/>
      <c r="BA674" s="39"/>
      <c r="BB674" s="39"/>
      <c r="BC674" s="39"/>
      <c r="BI674" s="39"/>
      <c r="BJ674" s="39"/>
      <c r="BK674" s="39"/>
      <c r="BQ674" s="39"/>
      <c r="BR674" s="39"/>
      <c r="BS674" s="39"/>
      <c r="BY674" s="39"/>
      <c r="BZ674" s="39"/>
      <c r="CA674" s="39"/>
      <c r="CG674" s="39"/>
      <c r="CH674" s="39"/>
      <c r="CI674" s="39"/>
    </row>
    <row r="675" spans="2:87" ht="15.75" customHeight="1">
      <c r="B675" s="2"/>
      <c r="C675" s="10"/>
      <c r="F675" s="39"/>
      <c r="G675" s="39"/>
      <c r="H675" s="39"/>
      <c r="I675" s="39"/>
      <c r="M675" s="39"/>
      <c r="N675" s="39"/>
      <c r="O675" s="39"/>
      <c r="U675" s="39"/>
      <c r="V675" s="39"/>
      <c r="W675" s="39"/>
      <c r="AC675" s="39"/>
      <c r="AD675" s="39"/>
      <c r="AE675" s="39"/>
      <c r="AK675" s="39"/>
      <c r="AL675" s="39"/>
      <c r="AM675" s="39"/>
      <c r="AS675" s="39"/>
      <c r="AT675" s="39"/>
      <c r="AU675" s="39"/>
      <c r="AZ675" s="40"/>
      <c r="BA675" s="39"/>
      <c r="BB675" s="39"/>
      <c r="BC675" s="39"/>
      <c r="BI675" s="39"/>
      <c r="BJ675" s="39"/>
      <c r="BK675" s="39"/>
      <c r="BQ675" s="39"/>
      <c r="BR675" s="39"/>
      <c r="BS675" s="39"/>
      <c r="BY675" s="39"/>
      <c r="BZ675" s="39"/>
      <c r="CA675" s="39"/>
      <c r="CG675" s="39"/>
      <c r="CH675" s="39"/>
      <c r="CI675" s="39"/>
    </row>
    <row r="676" spans="2:87" ht="15.75" customHeight="1">
      <c r="B676" s="2"/>
      <c r="C676" s="10"/>
      <c r="F676" s="39"/>
      <c r="G676" s="39"/>
      <c r="H676" s="39"/>
      <c r="I676" s="39"/>
      <c r="M676" s="39"/>
      <c r="N676" s="39"/>
      <c r="O676" s="39"/>
      <c r="U676" s="39"/>
      <c r="V676" s="39"/>
      <c r="W676" s="39"/>
      <c r="AC676" s="39"/>
      <c r="AD676" s="39"/>
      <c r="AE676" s="39"/>
      <c r="AK676" s="39"/>
      <c r="AL676" s="39"/>
      <c r="AM676" s="39"/>
      <c r="AS676" s="39"/>
      <c r="AT676" s="39"/>
      <c r="AU676" s="39"/>
      <c r="AZ676" s="40"/>
      <c r="BA676" s="39"/>
      <c r="BB676" s="39"/>
      <c r="BC676" s="39"/>
      <c r="BI676" s="39"/>
      <c r="BJ676" s="39"/>
      <c r="BK676" s="39"/>
      <c r="BQ676" s="39"/>
      <c r="BR676" s="39"/>
      <c r="BS676" s="39"/>
      <c r="BY676" s="39"/>
      <c r="BZ676" s="39"/>
      <c r="CA676" s="39"/>
      <c r="CG676" s="39"/>
      <c r="CH676" s="39"/>
      <c r="CI676" s="39"/>
    </row>
    <row r="677" spans="2:87" ht="15.75" customHeight="1">
      <c r="B677" s="2"/>
      <c r="C677" s="10"/>
      <c r="F677" s="39"/>
      <c r="G677" s="39"/>
      <c r="H677" s="39"/>
      <c r="I677" s="39"/>
      <c r="M677" s="39"/>
      <c r="N677" s="39"/>
      <c r="O677" s="39"/>
      <c r="U677" s="39"/>
      <c r="V677" s="39"/>
      <c r="W677" s="39"/>
      <c r="AC677" s="39"/>
      <c r="AD677" s="39"/>
      <c r="AE677" s="39"/>
      <c r="AK677" s="39"/>
      <c r="AL677" s="39"/>
      <c r="AM677" s="39"/>
      <c r="AS677" s="39"/>
      <c r="AT677" s="39"/>
      <c r="AU677" s="39"/>
      <c r="AZ677" s="40"/>
      <c r="BA677" s="39"/>
      <c r="BB677" s="39"/>
      <c r="BC677" s="39"/>
      <c r="BI677" s="39"/>
      <c r="BJ677" s="39"/>
      <c r="BK677" s="39"/>
      <c r="BQ677" s="39"/>
      <c r="BR677" s="39"/>
      <c r="BS677" s="39"/>
      <c r="BY677" s="39"/>
      <c r="BZ677" s="39"/>
      <c r="CA677" s="39"/>
      <c r="CG677" s="39"/>
      <c r="CH677" s="39"/>
      <c r="CI677" s="39"/>
    </row>
    <row r="678" spans="2:87" ht="15.75" customHeight="1">
      <c r="B678" s="2"/>
      <c r="C678" s="10"/>
      <c r="F678" s="39"/>
      <c r="G678" s="39"/>
      <c r="H678" s="39"/>
      <c r="I678" s="39"/>
      <c r="M678" s="39"/>
      <c r="N678" s="39"/>
      <c r="O678" s="39"/>
      <c r="U678" s="39"/>
      <c r="V678" s="39"/>
      <c r="W678" s="39"/>
      <c r="AC678" s="39"/>
      <c r="AD678" s="39"/>
      <c r="AE678" s="39"/>
      <c r="AK678" s="39"/>
      <c r="AL678" s="39"/>
      <c r="AM678" s="39"/>
      <c r="AS678" s="39"/>
      <c r="AT678" s="39"/>
      <c r="AU678" s="39"/>
      <c r="AZ678" s="40"/>
      <c r="BA678" s="39"/>
      <c r="BB678" s="39"/>
      <c r="BC678" s="39"/>
      <c r="BI678" s="39"/>
      <c r="BJ678" s="39"/>
      <c r="BK678" s="39"/>
      <c r="BQ678" s="39"/>
      <c r="BR678" s="39"/>
      <c r="BS678" s="39"/>
      <c r="BY678" s="39"/>
      <c r="BZ678" s="39"/>
      <c r="CA678" s="39"/>
      <c r="CG678" s="39"/>
      <c r="CH678" s="39"/>
      <c r="CI678" s="39"/>
    </row>
    <row r="679" spans="2:87" ht="15.75" customHeight="1">
      <c r="B679" s="2"/>
      <c r="C679" s="10"/>
      <c r="F679" s="39"/>
      <c r="G679" s="39"/>
      <c r="H679" s="39"/>
      <c r="I679" s="39"/>
      <c r="M679" s="39"/>
      <c r="N679" s="39"/>
      <c r="O679" s="39"/>
      <c r="U679" s="39"/>
      <c r="V679" s="39"/>
      <c r="W679" s="39"/>
      <c r="AC679" s="39"/>
      <c r="AD679" s="39"/>
      <c r="AE679" s="39"/>
      <c r="AK679" s="39"/>
      <c r="AL679" s="39"/>
      <c r="AM679" s="39"/>
      <c r="AS679" s="39"/>
      <c r="AT679" s="39"/>
      <c r="AU679" s="39"/>
      <c r="AZ679" s="40"/>
      <c r="BA679" s="39"/>
      <c r="BB679" s="39"/>
      <c r="BC679" s="39"/>
      <c r="BI679" s="39"/>
      <c r="BJ679" s="39"/>
      <c r="BK679" s="39"/>
      <c r="BQ679" s="39"/>
      <c r="BR679" s="39"/>
      <c r="BS679" s="39"/>
      <c r="BY679" s="39"/>
      <c r="BZ679" s="39"/>
      <c r="CA679" s="39"/>
      <c r="CG679" s="39"/>
      <c r="CH679" s="39"/>
      <c r="CI679" s="39"/>
    </row>
    <row r="680" spans="2:87" ht="15.75" customHeight="1">
      <c r="B680" s="2"/>
      <c r="C680" s="10"/>
      <c r="F680" s="39"/>
      <c r="G680" s="39"/>
      <c r="H680" s="39"/>
      <c r="I680" s="39"/>
      <c r="M680" s="39"/>
      <c r="N680" s="39"/>
      <c r="O680" s="39"/>
      <c r="U680" s="39"/>
      <c r="V680" s="39"/>
      <c r="W680" s="39"/>
      <c r="AC680" s="39"/>
      <c r="AD680" s="39"/>
      <c r="AE680" s="39"/>
      <c r="AK680" s="39"/>
      <c r="AL680" s="39"/>
      <c r="AM680" s="39"/>
      <c r="AS680" s="39"/>
      <c r="AT680" s="39"/>
      <c r="AU680" s="39"/>
      <c r="AZ680" s="40"/>
      <c r="BA680" s="39"/>
      <c r="BB680" s="39"/>
      <c r="BC680" s="39"/>
      <c r="BI680" s="39"/>
      <c r="BJ680" s="39"/>
      <c r="BK680" s="39"/>
      <c r="BQ680" s="39"/>
      <c r="BR680" s="39"/>
      <c r="BS680" s="39"/>
      <c r="BY680" s="39"/>
      <c r="BZ680" s="39"/>
      <c r="CA680" s="39"/>
      <c r="CG680" s="39"/>
      <c r="CH680" s="39"/>
      <c r="CI680" s="39"/>
    </row>
    <row r="681" spans="2:87" ht="15.75" customHeight="1">
      <c r="B681" s="2"/>
      <c r="C681" s="10"/>
      <c r="F681" s="39"/>
      <c r="G681" s="39"/>
      <c r="H681" s="39"/>
      <c r="I681" s="39"/>
      <c r="M681" s="39"/>
      <c r="N681" s="39"/>
      <c r="O681" s="39"/>
      <c r="U681" s="39"/>
      <c r="V681" s="39"/>
      <c r="W681" s="39"/>
      <c r="AC681" s="39"/>
      <c r="AD681" s="39"/>
      <c r="AE681" s="39"/>
      <c r="AK681" s="39"/>
      <c r="AL681" s="39"/>
      <c r="AM681" s="39"/>
      <c r="AS681" s="39"/>
      <c r="AT681" s="39"/>
      <c r="AU681" s="39"/>
      <c r="AZ681" s="40"/>
      <c r="BA681" s="39"/>
      <c r="BB681" s="39"/>
      <c r="BC681" s="39"/>
      <c r="BI681" s="39"/>
      <c r="BJ681" s="39"/>
      <c r="BK681" s="39"/>
      <c r="BQ681" s="39"/>
      <c r="BR681" s="39"/>
      <c r="BS681" s="39"/>
      <c r="BY681" s="39"/>
      <c r="BZ681" s="39"/>
      <c r="CA681" s="39"/>
      <c r="CG681" s="39"/>
      <c r="CH681" s="39"/>
      <c r="CI681" s="39"/>
    </row>
    <row r="682" spans="2:87" ht="15.75" customHeight="1">
      <c r="B682" s="2"/>
      <c r="C682" s="10"/>
      <c r="F682" s="39"/>
      <c r="G682" s="39"/>
      <c r="H682" s="39"/>
      <c r="I682" s="39"/>
      <c r="M682" s="39"/>
      <c r="N682" s="39"/>
      <c r="O682" s="39"/>
      <c r="U682" s="39"/>
      <c r="V682" s="39"/>
      <c r="W682" s="39"/>
      <c r="AC682" s="39"/>
      <c r="AD682" s="39"/>
      <c r="AE682" s="39"/>
      <c r="AK682" s="39"/>
      <c r="AL682" s="39"/>
      <c r="AM682" s="39"/>
      <c r="AS682" s="39"/>
      <c r="AT682" s="39"/>
      <c r="AU682" s="39"/>
      <c r="AZ682" s="40"/>
      <c r="BA682" s="39"/>
      <c r="BB682" s="39"/>
      <c r="BC682" s="39"/>
      <c r="BI682" s="39"/>
      <c r="BJ682" s="39"/>
      <c r="BK682" s="39"/>
      <c r="BQ682" s="39"/>
      <c r="BR682" s="39"/>
      <c r="BS682" s="39"/>
      <c r="BY682" s="39"/>
      <c r="BZ682" s="39"/>
      <c r="CA682" s="39"/>
      <c r="CG682" s="39"/>
      <c r="CH682" s="39"/>
      <c r="CI682" s="39"/>
    </row>
    <row r="683" spans="2:87" ht="15.75" customHeight="1">
      <c r="B683" s="2"/>
      <c r="C683" s="10"/>
      <c r="F683" s="39"/>
      <c r="G683" s="39"/>
      <c r="H683" s="39"/>
      <c r="I683" s="39"/>
      <c r="M683" s="39"/>
      <c r="N683" s="39"/>
      <c r="O683" s="39"/>
      <c r="U683" s="39"/>
      <c r="V683" s="39"/>
      <c r="W683" s="39"/>
      <c r="AC683" s="39"/>
      <c r="AD683" s="39"/>
      <c r="AE683" s="39"/>
      <c r="AK683" s="39"/>
      <c r="AL683" s="39"/>
      <c r="AM683" s="39"/>
      <c r="AS683" s="39"/>
      <c r="AT683" s="39"/>
      <c r="AU683" s="39"/>
      <c r="AZ683" s="40"/>
      <c r="BA683" s="39"/>
      <c r="BB683" s="39"/>
      <c r="BC683" s="39"/>
      <c r="BI683" s="39"/>
      <c r="BJ683" s="39"/>
      <c r="BK683" s="39"/>
      <c r="BQ683" s="39"/>
      <c r="BR683" s="39"/>
      <c r="BS683" s="39"/>
      <c r="BY683" s="39"/>
      <c r="BZ683" s="39"/>
      <c r="CA683" s="39"/>
      <c r="CG683" s="39"/>
      <c r="CH683" s="39"/>
      <c r="CI683" s="39"/>
    </row>
    <row r="684" spans="2:87" ht="15.75" customHeight="1">
      <c r="B684" s="2"/>
      <c r="C684" s="10"/>
      <c r="F684" s="39"/>
      <c r="G684" s="39"/>
      <c r="H684" s="39"/>
      <c r="I684" s="39"/>
      <c r="M684" s="39"/>
      <c r="N684" s="39"/>
      <c r="O684" s="39"/>
      <c r="U684" s="39"/>
      <c r="V684" s="39"/>
      <c r="W684" s="39"/>
      <c r="AC684" s="39"/>
      <c r="AD684" s="39"/>
      <c r="AE684" s="39"/>
      <c r="AK684" s="39"/>
      <c r="AL684" s="39"/>
      <c r="AM684" s="39"/>
      <c r="AS684" s="39"/>
      <c r="AT684" s="39"/>
      <c r="AU684" s="39"/>
      <c r="AZ684" s="40"/>
      <c r="BA684" s="39"/>
      <c r="BB684" s="39"/>
      <c r="BC684" s="39"/>
      <c r="BI684" s="39"/>
      <c r="BJ684" s="39"/>
      <c r="BK684" s="39"/>
      <c r="BQ684" s="39"/>
      <c r="BR684" s="39"/>
      <c r="BS684" s="39"/>
      <c r="BY684" s="39"/>
      <c r="BZ684" s="39"/>
      <c r="CA684" s="39"/>
      <c r="CG684" s="39"/>
      <c r="CH684" s="39"/>
      <c r="CI684" s="39"/>
    </row>
    <row r="685" spans="2:87" ht="15.75" customHeight="1">
      <c r="B685" s="2"/>
      <c r="C685" s="10"/>
      <c r="F685" s="39"/>
      <c r="G685" s="39"/>
      <c r="H685" s="39"/>
      <c r="I685" s="39"/>
      <c r="M685" s="39"/>
      <c r="N685" s="39"/>
      <c r="O685" s="39"/>
      <c r="U685" s="39"/>
      <c r="V685" s="39"/>
      <c r="W685" s="39"/>
      <c r="AC685" s="39"/>
      <c r="AD685" s="39"/>
      <c r="AE685" s="39"/>
      <c r="AK685" s="39"/>
      <c r="AL685" s="39"/>
      <c r="AM685" s="39"/>
      <c r="AS685" s="39"/>
      <c r="AT685" s="39"/>
      <c r="AU685" s="39"/>
      <c r="AZ685" s="40"/>
      <c r="BA685" s="39"/>
      <c r="BB685" s="39"/>
      <c r="BC685" s="39"/>
      <c r="BI685" s="39"/>
      <c r="BJ685" s="39"/>
      <c r="BK685" s="39"/>
      <c r="BQ685" s="39"/>
      <c r="BR685" s="39"/>
      <c r="BS685" s="39"/>
      <c r="BY685" s="39"/>
      <c r="BZ685" s="39"/>
      <c r="CA685" s="39"/>
      <c r="CG685" s="39"/>
      <c r="CH685" s="39"/>
      <c r="CI685" s="39"/>
    </row>
    <row r="686" spans="2:87" ht="15.75" customHeight="1">
      <c r="B686" s="2"/>
      <c r="C686" s="10"/>
      <c r="F686" s="39"/>
      <c r="G686" s="39"/>
      <c r="H686" s="39"/>
      <c r="I686" s="39"/>
      <c r="M686" s="39"/>
      <c r="N686" s="39"/>
      <c r="O686" s="39"/>
      <c r="U686" s="39"/>
      <c r="V686" s="39"/>
      <c r="W686" s="39"/>
      <c r="AC686" s="39"/>
      <c r="AD686" s="39"/>
      <c r="AE686" s="39"/>
      <c r="AK686" s="39"/>
      <c r="AL686" s="39"/>
      <c r="AM686" s="39"/>
      <c r="AS686" s="39"/>
      <c r="AT686" s="39"/>
      <c r="AU686" s="39"/>
      <c r="AZ686" s="40"/>
      <c r="BA686" s="39"/>
      <c r="BB686" s="39"/>
      <c r="BC686" s="39"/>
      <c r="BI686" s="39"/>
      <c r="BJ686" s="39"/>
      <c r="BK686" s="39"/>
      <c r="BQ686" s="39"/>
      <c r="BR686" s="39"/>
      <c r="BS686" s="39"/>
      <c r="BY686" s="39"/>
      <c r="BZ686" s="39"/>
      <c r="CA686" s="39"/>
      <c r="CG686" s="39"/>
      <c r="CH686" s="39"/>
      <c r="CI686" s="39"/>
    </row>
    <row r="687" spans="2:87" ht="15.75" customHeight="1">
      <c r="B687" s="2"/>
      <c r="C687" s="10"/>
      <c r="F687" s="39"/>
      <c r="G687" s="39"/>
      <c r="H687" s="39"/>
      <c r="I687" s="39"/>
      <c r="M687" s="39"/>
      <c r="N687" s="39"/>
      <c r="O687" s="39"/>
      <c r="U687" s="39"/>
      <c r="V687" s="39"/>
      <c r="W687" s="39"/>
      <c r="AC687" s="39"/>
      <c r="AD687" s="39"/>
      <c r="AE687" s="39"/>
      <c r="AK687" s="39"/>
      <c r="AL687" s="39"/>
      <c r="AM687" s="39"/>
      <c r="AS687" s="39"/>
      <c r="AT687" s="39"/>
      <c r="AU687" s="39"/>
      <c r="AZ687" s="40"/>
      <c r="BA687" s="39"/>
      <c r="BB687" s="39"/>
      <c r="BC687" s="39"/>
      <c r="BI687" s="39"/>
      <c r="BJ687" s="39"/>
      <c r="BK687" s="39"/>
      <c r="BQ687" s="39"/>
      <c r="BR687" s="39"/>
      <c r="BS687" s="39"/>
      <c r="BY687" s="39"/>
      <c r="BZ687" s="39"/>
      <c r="CA687" s="39"/>
      <c r="CG687" s="39"/>
      <c r="CH687" s="39"/>
      <c r="CI687" s="39"/>
    </row>
    <row r="688" spans="2:87" ht="15.75" customHeight="1">
      <c r="B688" s="2"/>
      <c r="C688" s="10"/>
      <c r="F688" s="39"/>
      <c r="G688" s="39"/>
      <c r="H688" s="39"/>
      <c r="I688" s="39"/>
      <c r="M688" s="39"/>
      <c r="N688" s="39"/>
      <c r="O688" s="39"/>
      <c r="U688" s="39"/>
      <c r="V688" s="39"/>
      <c r="W688" s="39"/>
      <c r="AC688" s="39"/>
      <c r="AD688" s="39"/>
      <c r="AE688" s="39"/>
      <c r="AK688" s="39"/>
      <c r="AL688" s="39"/>
      <c r="AM688" s="39"/>
      <c r="AS688" s="39"/>
      <c r="AT688" s="39"/>
      <c r="AU688" s="39"/>
      <c r="AZ688" s="40"/>
      <c r="BA688" s="39"/>
      <c r="BB688" s="39"/>
      <c r="BC688" s="39"/>
      <c r="BI688" s="39"/>
      <c r="BJ688" s="39"/>
      <c r="BK688" s="39"/>
      <c r="BQ688" s="39"/>
      <c r="BR688" s="39"/>
      <c r="BS688" s="39"/>
      <c r="BY688" s="39"/>
      <c r="BZ688" s="39"/>
      <c r="CA688" s="39"/>
      <c r="CG688" s="39"/>
      <c r="CH688" s="39"/>
      <c r="CI688" s="39"/>
    </row>
    <row r="689" spans="2:87" ht="15.75" customHeight="1">
      <c r="B689" s="2"/>
      <c r="C689" s="10"/>
      <c r="F689" s="39"/>
      <c r="G689" s="39"/>
      <c r="H689" s="39"/>
      <c r="I689" s="39"/>
      <c r="M689" s="39"/>
      <c r="N689" s="39"/>
      <c r="O689" s="39"/>
      <c r="U689" s="39"/>
      <c r="V689" s="39"/>
      <c r="W689" s="39"/>
      <c r="AC689" s="39"/>
      <c r="AD689" s="39"/>
      <c r="AE689" s="39"/>
      <c r="AK689" s="39"/>
      <c r="AL689" s="39"/>
      <c r="AM689" s="39"/>
      <c r="AS689" s="39"/>
      <c r="AT689" s="39"/>
      <c r="AU689" s="39"/>
      <c r="AZ689" s="40"/>
      <c r="BA689" s="39"/>
      <c r="BB689" s="39"/>
      <c r="BC689" s="39"/>
      <c r="BI689" s="39"/>
      <c r="BJ689" s="39"/>
      <c r="BK689" s="39"/>
      <c r="BQ689" s="39"/>
      <c r="BR689" s="39"/>
      <c r="BS689" s="39"/>
      <c r="BY689" s="39"/>
      <c r="BZ689" s="39"/>
      <c r="CA689" s="39"/>
      <c r="CG689" s="39"/>
      <c r="CH689" s="39"/>
      <c r="CI689" s="39"/>
    </row>
    <row r="690" spans="2:87" ht="15.75" customHeight="1">
      <c r="B690" s="2"/>
      <c r="C690" s="10"/>
      <c r="F690" s="39"/>
      <c r="G690" s="39"/>
      <c r="H690" s="39"/>
      <c r="I690" s="39"/>
      <c r="M690" s="39"/>
      <c r="N690" s="39"/>
      <c r="O690" s="39"/>
      <c r="U690" s="39"/>
      <c r="V690" s="39"/>
      <c r="W690" s="39"/>
      <c r="AC690" s="39"/>
      <c r="AD690" s="39"/>
      <c r="AE690" s="39"/>
      <c r="AK690" s="39"/>
      <c r="AL690" s="39"/>
      <c r="AM690" s="39"/>
      <c r="AS690" s="39"/>
      <c r="AT690" s="39"/>
      <c r="AU690" s="39"/>
      <c r="AZ690" s="40"/>
      <c r="BA690" s="39"/>
      <c r="BB690" s="39"/>
      <c r="BC690" s="39"/>
      <c r="BI690" s="39"/>
      <c r="BJ690" s="39"/>
      <c r="BK690" s="39"/>
      <c r="BQ690" s="39"/>
      <c r="BR690" s="39"/>
      <c r="BS690" s="39"/>
      <c r="BY690" s="39"/>
      <c r="BZ690" s="39"/>
      <c r="CA690" s="39"/>
      <c r="CG690" s="39"/>
      <c r="CH690" s="39"/>
      <c r="CI690" s="39"/>
    </row>
    <row r="691" spans="2:87" ht="15.75" customHeight="1">
      <c r="B691" s="2"/>
      <c r="C691" s="10"/>
      <c r="F691" s="39"/>
      <c r="G691" s="39"/>
      <c r="H691" s="39"/>
      <c r="I691" s="39"/>
      <c r="M691" s="39"/>
      <c r="N691" s="39"/>
      <c r="O691" s="39"/>
      <c r="U691" s="39"/>
      <c r="V691" s="39"/>
      <c r="W691" s="39"/>
      <c r="AC691" s="39"/>
      <c r="AD691" s="39"/>
      <c r="AE691" s="39"/>
      <c r="AK691" s="39"/>
      <c r="AL691" s="39"/>
      <c r="AM691" s="39"/>
      <c r="AS691" s="39"/>
      <c r="AT691" s="39"/>
      <c r="AU691" s="39"/>
      <c r="AZ691" s="40"/>
      <c r="BA691" s="39"/>
      <c r="BB691" s="39"/>
      <c r="BC691" s="39"/>
      <c r="BI691" s="39"/>
      <c r="BJ691" s="39"/>
      <c r="BK691" s="39"/>
      <c r="BQ691" s="39"/>
      <c r="BR691" s="39"/>
      <c r="BS691" s="39"/>
      <c r="BY691" s="39"/>
      <c r="BZ691" s="39"/>
      <c r="CA691" s="39"/>
      <c r="CG691" s="39"/>
      <c r="CH691" s="39"/>
      <c r="CI691" s="39"/>
    </row>
    <row r="692" spans="2:87" ht="15.75" customHeight="1">
      <c r="B692" s="2"/>
      <c r="C692" s="10"/>
      <c r="F692" s="39"/>
      <c r="G692" s="39"/>
      <c r="H692" s="39"/>
      <c r="I692" s="39"/>
      <c r="M692" s="39"/>
      <c r="N692" s="39"/>
      <c r="O692" s="39"/>
      <c r="U692" s="39"/>
      <c r="V692" s="39"/>
      <c r="W692" s="39"/>
      <c r="AC692" s="39"/>
      <c r="AD692" s="39"/>
      <c r="AE692" s="39"/>
      <c r="AK692" s="39"/>
      <c r="AL692" s="39"/>
      <c r="AM692" s="39"/>
      <c r="AS692" s="39"/>
      <c r="AT692" s="39"/>
      <c r="AU692" s="39"/>
      <c r="AZ692" s="40"/>
      <c r="BA692" s="39"/>
      <c r="BB692" s="39"/>
      <c r="BC692" s="39"/>
      <c r="BI692" s="39"/>
      <c r="BJ692" s="39"/>
      <c r="BK692" s="39"/>
      <c r="BQ692" s="39"/>
      <c r="BR692" s="39"/>
      <c r="BS692" s="39"/>
      <c r="BY692" s="39"/>
      <c r="BZ692" s="39"/>
      <c r="CA692" s="39"/>
      <c r="CG692" s="39"/>
      <c r="CH692" s="39"/>
      <c r="CI692" s="39"/>
    </row>
    <row r="693" spans="2:87" ht="15.75" customHeight="1">
      <c r="B693" s="2"/>
      <c r="C693" s="10"/>
      <c r="F693" s="39"/>
      <c r="G693" s="39"/>
      <c r="H693" s="39"/>
      <c r="I693" s="39"/>
      <c r="M693" s="39"/>
      <c r="N693" s="39"/>
      <c r="O693" s="39"/>
      <c r="U693" s="39"/>
      <c r="V693" s="39"/>
      <c r="W693" s="39"/>
      <c r="AC693" s="39"/>
      <c r="AD693" s="39"/>
      <c r="AE693" s="39"/>
      <c r="AK693" s="39"/>
      <c r="AL693" s="39"/>
      <c r="AM693" s="39"/>
      <c r="AS693" s="39"/>
      <c r="AT693" s="39"/>
      <c r="AU693" s="39"/>
      <c r="AZ693" s="40"/>
      <c r="BA693" s="39"/>
      <c r="BB693" s="39"/>
      <c r="BC693" s="39"/>
      <c r="BI693" s="39"/>
      <c r="BJ693" s="39"/>
      <c r="BK693" s="39"/>
      <c r="BQ693" s="39"/>
      <c r="BR693" s="39"/>
      <c r="BS693" s="39"/>
      <c r="BY693" s="39"/>
      <c r="BZ693" s="39"/>
      <c r="CA693" s="39"/>
      <c r="CG693" s="39"/>
      <c r="CH693" s="39"/>
      <c r="CI693" s="39"/>
    </row>
    <row r="694" spans="2:87" ht="15.75" customHeight="1">
      <c r="B694" s="2"/>
      <c r="C694" s="10"/>
      <c r="F694" s="39"/>
      <c r="G694" s="39"/>
      <c r="H694" s="39"/>
      <c r="I694" s="39"/>
      <c r="M694" s="39"/>
      <c r="N694" s="39"/>
      <c r="O694" s="39"/>
      <c r="U694" s="39"/>
      <c r="V694" s="39"/>
      <c r="W694" s="39"/>
      <c r="AC694" s="39"/>
      <c r="AD694" s="39"/>
      <c r="AE694" s="39"/>
      <c r="AK694" s="39"/>
      <c r="AL694" s="39"/>
      <c r="AM694" s="39"/>
      <c r="AS694" s="39"/>
      <c r="AT694" s="39"/>
      <c r="AU694" s="39"/>
      <c r="AZ694" s="40"/>
      <c r="BA694" s="39"/>
      <c r="BB694" s="39"/>
      <c r="BC694" s="39"/>
      <c r="BI694" s="39"/>
      <c r="BJ694" s="39"/>
      <c r="BK694" s="39"/>
      <c r="BQ694" s="39"/>
      <c r="BR694" s="39"/>
      <c r="BS694" s="39"/>
      <c r="BY694" s="39"/>
      <c r="BZ694" s="39"/>
      <c r="CA694" s="39"/>
      <c r="CG694" s="39"/>
      <c r="CH694" s="39"/>
      <c r="CI694" s="39"/>
    </row>
    <row r="695" spans="2:87" ht="15.75" customHeight="1">
      <c r="B695" s="2"/>
      <c r="C695" s="10"/>
      <c r="F695" s="39"/>
      <c r="G695" s="39"/>
      <c r="H695" s="39"/>
      <c r="I695" s="39"/>
      <c r="M695" s="39"/>
      <c r="N695" s="39"/>
      <c r="O695" s="39"/>
      <c r="U695" s="39"/>
      <c r="V695" s="39"/>
      <c r="W695" s="39"/>
      <c r="AC695" s="39"/>
      <c r="AD695" s="39"/>
      <c r="AE695" s="39"/>
      <c r="AK695" s="39"/>
      <c r="AL695" s="39"/>
      <c r="AM695" s="39"/>
      <c r="AS695" s="39"/>
      <c r="AT695" s="39"/>
      <c r="AU695" s="39"/>
      <c r="AZ695" s="40"/>
      <c r="BA695" s="39"/>
      <c r="BB695" s="39"/>
      <c r="BC695" s="39"/>
      <c r="BI695" s="39"/>
      <c r="BJ695" s="39"/>
      <c r="BK695" s="39"/>
      <c r="BQ695" s="39"/>
      <c r="BR695" s="39"/>
      <c r="BS695" s="39"/>
      <c r="BY695" s="39"/>
      <c r="BZ695" s="39"/>
      <c r="CA695" s="39"/>
      <c r="CG695" s="39"/>
      <c r="CH695" s="39"/>
      <c r="CI695" s="39"/>
    </row>
    <row r="696" spans="2:87" ht="15.75" customHeight="1">
      <c r="B696" s="2"/>
      <c r="C696" s="10"/>
      <c r="F696" s="39"/>
      <c r="G696" s="39"/>
      <c r="H696" s="39"/>
      <c r="I696" s="39"/>
      <c r="M696" s="39"/>
      <c r="N696" s="39"/>
      <c r="O696" s="39"/>
      <c r="U696" s="39"/>
      <c r="V696" s="39"/>
      <c r="W696" s="39"/>
      <c r="AC696" s="39"/>
      <c r="AD696" s="39"/>
      <c r="AE696" s="39"/>
      <c r="AK696" s="39"/>
      <c r="AL696" s="39"/>
      <c r="AM696" s="39"/>
      <c r="AS696" s="39"/>
      <c r="AT696" s="39"/>
      <c r="AU696" s="39"/>
      <c r="AZ696" s="40"/>
      <c r="BA696" s="39"/>
      <c r="BB696" s="39"/>
      <c r="BC696" s="39"/>
      <c r="BI696" s="39"/>
      <c r="BJ696" s="39"/>
      <c r="BK696" s="39"/>
      <c r="BQ696" s="39"/>
      <c r="BR696" s="39"/>
      <c r="BS696" s="39"/>
      <c r="BY696" s="39"/>
      <c r="BZ696" s="39"/>
      <c r="CA696" s="39"/>
      <c r="CG696" s="39"/>
      <c r="CH696" s="39"/>
      <c r="CI696" s="39"/>
    </row>
    <row r="697" spans="2:87" ht="15.75" customHeight="1">
      <c r="B697" s="2"/>
      <c r="C697" s="10"/>
      <c r="F697" s="39"/>
      <c r="G697" s="39"/>
      <c r="H697" s="39"/>
      <c r="I697" s="39"/>
      <c r="M697" s="39"/>
      <c r="N697" s="39"/>
      <c r="O697" s="39"/>
      <c r="U697" s="39"/>
      <c r="V697" s="39"/>
      <c r="W697" s="39"/>
      <c r="AC697" s="39"/>
      <c r="AD697" s="39"/>
      <c r="AE697" s="39"/>
      <c r="AK697" s="39"/>
      <c r="AL697" s="39"/>
      <c r="AM697" s="39"/>
      <c r="AS697" s="39"/>
      <c r="AT697" s="39"/>
      <c r="AU697" s="39"/>
      <c r="AZ697" s="40"/>
      <c r="BA697" s="39"/>
      <c r="BB697" s="39"/>
      <c r="BC697" s="39"/>
      <c r="BI697" s="39"/>
      <c r="BJ697" s="39"/>
      <c r="BK697" s="39"/>
      <c r="BQ697" s="39"/>
      <c r="BR697" s="39"/>
      <c r="BS697" s="39"/>
      <c r="BY697" s="39"/>
      <c r="BZ697" s="39"/>
      <c r="CA697" s="39"/>
      <c r="CG697" s="39"/>
      <c r="CH697" s="39"/>
      <c r="CI697" s="39"/>
    </row>
    <row r="698" spans="2:87" ht="15.75" customHeight="1">
      <c r="B698" s="2"/>
      <c r="C698" s="10"/>
      <c r="F698" s="39"/>
      <c r="G698" s="39"/>
      <c r="H698" s="39"/>
      <c r="I698" s="39"/>
      <c r="M698" s="39"/>
      <c r="N698" s="39"/>
      <c r="O698" s="39"/>
      <c r="U698" s="39"/>
      <c r="V698" s="39"/>
      <c r="W698" s="39"/>
      <c r="AC698" s="39"/>
      <c r="AD698" s="39"/>
      <c r="AE698" s="39"/>
      <c r="AK698" s="39"/>
      <c r="AL698" s="39"/>
      <c r="AM698" s="39"/>
      <c r="AS698" s="39"/>
      <c r="AT698" s="39"/>
      <c r="AU698" s="39"/>
      <c r="AZ698" s="40"/>
      <c r="BA698" s="39"/>
      <c r="BB698" s="39"/>
      <c r="BC698" s="39"/>
      <c r="BI698" s="39"/>
      <c r="BJ698" s="39"/>
      <c r="BK698" s="39"/>
      <c r="BQ698" s="39"/>
      <c r="BR698" s="39"/>
      <c r="BS698" s="39"/>
      <c r="BY698" s="39"/>
      <c r="BZ698" s="39"/>
      <c r="CA698" s="39"/>
      <c r="CG698" s="39"/>
      <c r="CH698" s="39"/>
      <c r="CI698" s="39"/>
    </row>
    <row r="699" spans="2:87" ht="15.75" customHeight="1">
      <c r="B699" s="2"/>
      <c r="C699" s="10"/>
      <c r="F699" s="39"/>
      <c r="G699" s="39"/>
      <c r="H699" s="39"/>
      <c r="I699" s="39"/>
      <c r="M699" s="39"/>
      <c r="N699" s="39"/>
      <c r="O699" s="39"/>
      <c r="U699" s="39"/>
      <c r="V699" s="39"/>
      <c r="W699" s="39"/>
      <c r="AC699" s="39"/>
      <c r="AD699" s="39"/>
      <c r="AE699" s="39"/>
      <c r="AK699" s="39"/>
      <c r="AL699" s="39"/>
      <c r="AM699" s="39"/>
      <c r="AS699" s="39"/>
      <c r="AT699" s="39"/>
      <c r="AU699" s="39"/>
      <c r="AZ699" s="40"/>
      <c r="BA699" s="39"/>
      <c r="BB699" s="39"/>
      <c r="BC699" s="39"/>
      <c r="BI699" s="39"/>
      <c r="BJ699" s="39"/>
      <c r="BK699" s="39"/>
      <c r="BQ699" s="39"/>
      <c r="BR699" s="39"/>
      <c r="BS699" s="39"/>
      <c r="BY699" s="39"/>
      <c r="BZ699" s="39"/>
      <c r="CA699" s="39"/>
      <c r="CG699" s="39"/>
      <c r="CH699" s="39"/>
      <c r="CI699" s="39"/>
    </row>
    <row r="700" spans="2:87" ht="15.75" customHeight="1">
      <c r="B700" s="2"/>
      <c r="C700" s="10"/>
      <c r="F700" s="39"/>
      <c r="G700" s="39"/>
      <c r="H700" s="39"/>
      <c r="I700" s="39"/>
      <c r="M700" s="39"/>
      <c r="N700" s="39"/>
      <c r="O700" s="39"/>
      <c r="U700" s="39"/>
      <c r="V700" s="39"/>
      <c r="W700" s="39"/>
      <c r="AC700" s="39"/>
      <c r="AD700" s="39"/>
      <c r="AE700" s="39"/>
      <c r="AK700" s="39"/>
      <c r="AL700" s="39"/>
      <c r="AM700" s="39"/>
      <c r="AS700" s="39"/>
      <c r="AT700" s="39"/>
      <c r="AU700" s="39"/>
      <c r="AZ700" s="40"/>
      <c r="BA700" s="39"/>
      <c r="BB700" s="39"/>
      <c r="BC700" s="39"/>
      <c r="BI700" s="39"/>
      <c r="BJ700" s="39"/>
      <c r="BK700" s="39"/>
      <c r="BQ700" s="39"/>
      <c r="BR700" s="39"/>
      <c r="BS700" s="39"/>
      <c r="BY700" s="39"/>
      <c r="BZ700" s="39"/>
      <c r="CA700" s="39"/>
      <c r="CG700" s="39"/>
      <c r="CH700" s="39"/>
      <c r="CI700" s="39"/>
    </row>
    <row r="701" spans="2:87" ht="15.75" customHeight="1">
      <c r="B701" s="2"/>
      <c r="C701" s="10"/>
      <c r="F701" s="39"/>
      <c r="G701" s="39"/>
      <c r="H701" s="39"/>
      <c r="I701" s="39"/>
      <c r="M701" s="39"/>
      <c r="N701" s="39"/>
      <c r="O701" s="39"/>
      <c r="U701" s="39"/>
      <c r="V701" s="39"/>
      <c r="W701" s="39"/>
      <c r="AC701" s="39"/>
      <c r="AD701" s="39"/>
      <c r="AE701" s="39"/>
      <c r="AK701" s="39"/>
      <c r="AL701" s="39"/>
      <c r="AM701" s="39"/>
      <c r="AS701" s="39"/>
      <c r="AT701" s="39"/>
      <c r="AU701" s="39"/>
      <c r="AZ701" s="40"/>
      <c r="BA701" s="39"/>
      <c r="BB701" s="39"/>
      <c r="BC701" s="39"/>
      <c r="BI701" s="39"/>
      <c r="BJ701" s="39"/>
      <c r="BK701" s="39"/>
      <c r="BQ701" s="39"/>
      <c r="BR701" s="39"/>
      <c r="BS701" s="39"/>
      <c r="BY701" s="39"/>
      <c r="BZ701" s="39"/>
      <c r="CA701" s="39"/>
      <c r="CG701" s="39"/>
      <c r="CH701" s="39"/>
      <c r="CI701" s="39"/>
    </row>
    <row r="702" spans="2:87" ht="15.75" customHeight="1">
      <c r="B702" s="2"/>
      <c r="C702" s="10"/>
      <c r="F702" s="39"/>
      <c r="G702" s="39"/>
      <c r="H702" s="39"/>
      <c r="I702" s="39"/>
      <c r="M702" s="39"/>
      <c r="N702" s="39"/>
      <c r="O702" s="39"/>
      <c r="U702" s="39"/>
      <c r="V702" s="39"/>
      <c r="W702" s="39"/>
      <c r="AC702" s="39"/>
      <c r="AD702" s="39"/>
      <c r="AE702" s="39"/>
      <c r="AK702" s="39"/>
      <c r="AL702" s="39"/>
      <c r="AM702" s="39"/>
      <c r="AS702" s="39"/>
      <c r="AT702" s="39"/>
      <c r="AU702" s="39"/>
      <c r="AZ702" s="40"/>
      <c r="BA702" s="39"/>
      <c r="BB702" s="39"/>
      <c r="BC702" s="39"/>
      <c r="BI702" s="39"/>
      <c r="BJ702" s="39"/>
      <c r="BK702" s="39"/>
      <c r="BQ702" s="39"/>
      <c r="BR702" s="39"/>
      <c r="BS702" s="39"/>
      <c r="BY702" s="39"/>
      <c r="BZ702" s="39"/>
      <c r="CA702" s="39"/>
      <c r="CG702" s="39"/>
      <c r="CH702" s="39"/>
      <c r="CI702" s="39"/>
    </row>
    <row r="703" spans="2:87" ht="15.75" customHeight="1">
      <c r="B703" s="2"/>
      <c r="C703" s="10"/>
      <c r="F703" s="39"/>
      <c r="G703" s="39"/>
      <c r="H703" s="39"/>
      <c r="I703" s="39"/>
      <c r="M703" s="39"/>
      <c r="N703" s="39"/>
      <c r="O703" s="39"/>
      <c r="U703" s="39"/>
      <c r="V703" s="39"/>
      <c r="W703" s="39"/>
      <c r="AC703" s="39"/>
      <c r="AD703" s="39"/>
      <c r="AE703" s="39"/>
      <c r="AK703" s="39"/>
      <c r="AL703" s="39"/>
      <c r="AM703" s="39"/>
      <c r="AS703" s="39"/>
      <c r="AT703" s="39"/>
      <c r="AU703" s="39"/>
      <c r="AZ703" s="40"/>
      <c r="BA703" s="39"/>
      <c r="BB703" s="39"/>
      <c r="BC703" s="39"/>
      <c r="BI703" s="39"/>
      <c r="BJ703" s="39"/>
      <c r="BK703" s="39"/>
      <c r="BQ703" s="39"/>
      <c r="BR703" s="39"/>
      <c r="BS703" s="39"/>
      <c r="BY703" s="39"/>
      <c r="BZ703" s="39"/>
      <c r="CA703" s="39"/>
      <c r="CG703" s="39"/>
      <c r="CH703" s="39"/>
      <c r="CI703" s="39"/>
    </row>
    <row r="704" spans="2:87" ht="15.75" customHeight="1">
      <c r="B704" s="2"/>
      <c r="C704" s="10"/>
      <c r="F704" s="39"/>
      <c r="G704" s="39"/>
      <c r="H704" s="39"/>
      <c r="I704" s="39"/>
      <c r="M704" s="39"/>
      <c r="N704" s="39"/>
      <c r="O704" s="39"/>
      <c r="U704" s="39"/>
      <c r="V704" s="39"/>
      <c r="W704" s="39"/>
      <c r="AC704" s="39"/>
      <c r="AD704" s="39"/>
      <c r="AE704" s="39"/>
      <c r="AK704" s="39"/>
      <c r="AL704" s="39"/>
      <c r="AM704" s="39"/>
      <c r="AS704" s="39"/>
      <c r="AT704" s="39"/>
      <c r="AU704" s="39"/>
      <c r="AZ704" s="40"/>
      <c r="BA704" s="39"/>
      <c r="BB704" s="39"/>
      <c r="BC704" s="39"/>
      <c r="BI704" s="39"/>
      <c r="BJ704" s="39"/>
      <c r="BK704" s="39"/>
      <c r="BQ704" s="39"/>
      <c r="BR704" s="39"/>
      <c r="BS704" s="39"/>
      <c r="BY704" s="39"/>
      <c r="BZ704" s="39"/>
      <c r="CA704" s="39"/>
      <c r="CG704" s="39"/>
      <c r="CH704" s="39"/>
      <c r="CI704" s="39"/>
    </row>
    <row r="705" spans="2:87" ht="15.75" customHeight="1">
      <c r="B705" s="2"/>
      <c r="C705" s="10"/>
      <c r="F705" s="39"/>
      <c r="G705" s="39"/>
      <c r="H705" s="39"/>
      <c r="I705" s="39"/>
      <c r="M705" s="39"/>
      <c r="N705" s="39"/>
      <c r="O705" s="39"/>
      <c r="U705" s="39"/>
      <c r="V705" s="39"/>
      <c r="W705" s="39"/>
      <c r="AC705" s="39"/>
      <c r="AD705" s="39"/>
      <c r="AE705" s="39"/>
      <c r="AK705" s="39"/>
      <c r="AL705" s="39"/>
      <c r="AM705" s="39"/>
      <c r="AS705" s="39"/>
      <c r="AT705" s="39"/>
      <c r="AU705" s="39"/>
      <c r="AZ705" s="40"/>
      <c r="BA705" s="39"/>
      <c r="BB705" s="39"/>
      <c r="BC705" s="39"/>
      <c r="BI705" s="39"/>
      <c r="BJ705" s="39"/>
      <c r="BK705" s="39"/>
      <c r="BQ705" s="39"/>
      <c r="BR705" s="39"/>
      <c r="BS705" s="39"/>
      <c r="BY705" s="39"/>
      <c r="BZ705" s="39"/>
      <c r="CA705" s="39"/>
      <c r="CG705" s="39"/>
      <c r="CH705" s="39"/>
      <c r="CI705" s="39"/>
    </row>
    <row r="706" spans="2:87" ht="15.75" customHeight="1">
      <c r="B706" s="2"/>
      <c r="C706" s="10"/>
      <c r="F706" s="39"/>
      <c r="G706" s="39"/>
      <c r="H706" s="39"/>
      <c r="I706" s="39"/>
      <c r="M706" s="39"/>
      <c r="N706" s="39"/>
      <c r="O706" s="39"/>
      <c r="U706" s="39"/>
      <c r="V706" s="39"/>
      <c r="W706" s="39"/>
      <c r="AC706" s="39"/>
      <c r="AD706" s="39"/>
      <c r="AE706" s="39"/>
      <c r="AK706" s="39"/>
      <c r="AL706" s="39"/>
      <c r="AM706" s="39"/>
      <c r="AS706" s="39"/>
      <c r="AT706" s="39"/>
      <c r="AU706" s="39"/>
      <c r="AZ706" s="40"/>
      <c r="BA706" s="39"/>
      <c r="BB706" s="39"/>
      <c r="BC706" s="39"/>
      <c r="BI706" s="39"/>
      <c r="BJ706" s="39"/>
      <c r="BK706" s="39"/>
      <c r="BQ706" s="39"/>
      <c r="BR706" s="39"/>
      <c r="BS706" s="39"/>
      <c r="BY706" s="39"/>
      <c r="BZ706" s="39"/>
      <c r="CA706" s="39"/>
      <c r="CG706" s="39"/>
      <c r="CH706" s="39"/>
      <c r="CI706" s="39"/>
    </row>
    <row r="707" spans="2:87" ht="15.75" customHeight="1">
      <c r="B707" s="2"/>
      <c r="C707" s="10"/>
      <c r="F707" s="39"/>
      <c r="G707" s="39"/>
      <c r="H707" s="39"/>
      <c r="I707" s="39"/>
      <c r="M707" s="39"/>
      <c r="N707" s="39"/>
      <c r="O707" s="39"/>
      <c r="U707" s="39"/>
      <c r="V707" s="39"/>
      <c r="W707" s="39"/>
      <c r="AC707" s="39"/>
      <c r="AD707" s="39"/>
      <c r="AE707" s="39"/>
      <c r="AK707" s="39"/>
      <c r="AL707" s="39"/>
      <c r="AM707" s="39"/>
      <c r="AS707" s="39"/>
      <c r="AT707" s="39"/>
      <c r="AU707" s="39"/>
      <c r="AZ707" s="40"/>
      <c r="BA707" s="39"/>
      <c r="BB707" s="39"/>
      <c r="BC707" s="39"/>
      <c r="BI707" s="39"/>
      <c r="BJ707" s="39"/>
      <c r="BK707" s="39"/>
      <c r="BQ707" s="39"/>
      <c r="BR707" s="39"/>
      <c r="BS707" s="39"/>
      <c r="BY707" s="39"/>
      <c r="BZ707" s="39"/>
      <c r="CA707" s="39"/>
      <c r="CG707" s="39"/>
      <c r="CH707" s="39"/>
      <c r="CI707" s="39"/>
    </row>
    <row r="708" spans="2:87" ht="15.75" customHeight="1">
      <c r="B708" s="2"/>
      <c r="C708" s="10"/>
      <c r="F708" s="39"/>
      <c r="G708" s="39"/>
      <c r="H708" s="39"/>
      <c r="I708" s="39"/>
      <c r="M708" s="39"/>
      <c r="N708" s="39"/>
      <c r="O708" s="39"/>
      <c r="U708" s="39"/>
      <c r="V708" s="39"/>
      <c r="W708" s="39"/>
      <c r="AC708" s="39"/>
      <c r="AD708" s="39"/>
      <c r="AE708" s="39"/>
      <c r="AK708" s="39"/>
      <c r="AL708" s="39"/>
      <c r="AM708" s="39"/>
      <c r="AS708" s="39"/>
      <c r="AT708" s="39"/>
      <c r="AU708" s="39"/>
      <c r="AZ708" s="40"/>
      <c r="BA708" s="39"/>
      <c r="BB708" s="39"/>
      <c r="BC708" s="39"/>
      <c r="BI708" s="39"/>
      <c r="BJ708" s="39"/>
      <c r="BK708" s="39"/>
      <c r="BQ708" s="39"/>
      <c r="BR708" s="39"/>
      <c r="BS708" s="39"/>
      <c r="BY708" s="39"/>
      <c r="BZ708" s="39"/>
      <c r="CA708" s="39"/>
      <c r="CG708" s="39"/>
      <c r="CH708" s="39"/>
      <c r="CI708" s="39"/>
    </row>
    <row r="709" spans="2:87" ht="15.75" customHeight="1">
      <c r="B709" s="2"/>
      <c r="C709" s="10"/>
      <c r="F709" s="39"/>
      <c r="G709" s="39"/>
      <c r="H709" s="39"/>
      <c r="I709" s="39"/>
      <c r="M709" s="39"/>
      <c r="N709" s="39"/>
      <c r="O709" s="39"/>
      <c r="U709" s="39"/>
      <c r="V709" s="39"/>
      <c r="W709" s="39"/>
      <c r="AC709" s="39"/>
      <c r="AD709" s="39"/>
      <c r="AE709" s="39"/>
      <c r="AK709" s="39"/>
      <c r="AL709" s="39"/>
      <c r="AM709" s="39"/>
      <c r="AS709" s="39"/>
      <c r="AT709" s="39"/>
      <c r="AU709" s="39"/>
      <c r="AZ709" s="40"/>
      <c r="BA709" s="39"/>
      <c r="BB709" s="39"/>
      <c r="BC709" s="39"/>
      <c r="BI709" s="39"/>
      <c r="BJ709" s="39"/>
      <c r="BK709" s="39"/>
      <c r="BQ709" s="39"/>
      <c r="BR709" s="39"/>
      <c r="BS709" s="39"/>
      <c r="BY709" s="39"/>
      <c r="BZ709" s="39"/>
      <c r="CA709" s="39"/>
      <c r="CG709" s="39"/>
      <c r="CH709" s="39"/>
      <c r="CI709" s="39"/>
    </row>
    <row r="710" spans="2:87" ht="15.75" customHeight="1">
      <c r="B710" s="2"/>
      <c r="C710" s="10"/>
      <c r="F710" s="39"/>
      <c r="G710" s="39"/>
      <c r="H710" s="39"/>
      <c r="I710" s="39"/>
      <c r="M710" s="39"/>
      <c r="N710" s="39"/>
      <c r="O710" s="39"/>
      <c r="U710" s="39"/>
      <c r="V710" s="39"/>
      <c r="W710" s="39"/>
      <c r="AC710" s="39"/>
      <c r="AD710" s="39"/>
      <c r="AE710" s="39"/>
      <c r="AK710" s="39"/>
      <c r="AL710" s="39"/>
      <c r="AM710" s="39"/>
      <c r="AS710" s="39"/>
      <c r="AT710" s="39"/>
      <c r="AU710" s="39"/>
      <c r="AZ710" s="40"/>
      <c r="BA710" s="39"/>
      <c r="BB710" s="39"/>
      <c r="BC710" s="39"/>
      <c r="BI710" s="39"/>
      <c r="BJ710" s="39"/>
      <c r="BK710" s="39"/>
      <c r="BQ710" s="39"/>
      <c r="BR710" s="39"/>
      <c r="BS710" s="39"/>
      <c r="BY710" s="39"/>
      <c r="BZ710" s="39"/>
      <c r="CA710" s="39"/>
      <c r="CG710" s="39"/>
      <c r="CH710" s="39"/>
      <c r="CI710" s="39"/>
    </row>
    <row r="711" spans="2:87" ht="15.75" customHeight="1">
      <c r="B711" s="2"/>
      <c r="C711" s="10"/>
      <c r="F711" s="39"/>
      <c r="G711" s="39"/>
      <c r="H711" s="39"/>
      <c r="I711" s="39"/>
      <c r="M711" s="39"/>
      <c r="N711" s="39"/>
      <c r="O711" s="39"/>
      <c r="U711" s="39"/>
      <c r="V711" s="39"/>
      <c r="W711" s="39"/>
      <c r="AC711" s="39"/>
      <c r="AD711" s="39"/>
      <c r="AE711" s="39"/>
      <c r="AK711" s="39"/>
      <c r="AL711" s="39"/>
      <c r="AM711" s="39"/>
      <c r="AS711" s="39"/>
      <c r="AT711" s="39"/>
      <c r="AU711" s="39"/>
      <c r="AZ711" s="40"/>
      <c r="BA711" s="39"/>
      <c r="BB711" s="39"/>
      <c r="BC711" s="39"/>
      <c r="BI711" s="39"/>
      <c r="BJ711" s="39"/>
      <c r="BK711" s="39"/>
      <c r="BQ711" s="39"/>
      <c r="BR711" s="39"/>
      <c r="BS711" s="39"/>
      <c r="BY711" s="39"/>
      <c r="BZ711" s="39"/>
      <c r="CA711" s="39"/>
      <c r="CG711" s="39"/>
      <c r="CH711" s="39"/>
      <c r="CI711" s="39"/>
    </row>
    <row r="712" spans="2:87" ht="15.75" customHeight="1">
      <c r="B712" s="2"/>
      <c r="C712" s="10"/>
      <c r="F712" s="39"/>
      <c r="G712" s="39"/>
      <c r="H712" s="39"/>
      <c r="I712" s="39"/>
      <c r="M712" s="39"/>
      <c r="N712" s="39"/>
      <c r="O712" s="39"/>
      <c r="U712" s="39"/>
      <c r="V712" s="39"/>
      <c r="W712" s="39"/>
      <c r="AC712" s="39"/>
      <c r="AD712" s="39"/>
      <c r="AE712" s="39"/>
      <c r="AK712" s="39"/>
      <c r="AL712" s="39"/>
      <c r="AM712" s="39"/>
      <c r="AS712" s="39"/>
      <c r="AT712" s="39"/>
      <c r="AU712" s="39"/>
      <c r="AZ712" s="40"/>
      <c r="BA712" s="39"/>
      <c r="BB712" s="39"/>
      <c r="BC712" s="39"/>
      <c r="BI712" s="39"/>
      <c r="BJ712" s="39"/>
      <c r="BK712" s="39"/>
      <c r="BQ712" s="39"/>
      <c r="BR712" s="39"/>
      <c r="BS712" s="39"/>
      <c r="BY712" s="39"/>
      <c r="BZ712" s="39"/>
      <c r="CA712" s="39"/>
      <c r="CG712" s="39"/>
      <c r="CH712" s="39"/>
      <c r="CI712" s="39"/>
    </row>
    <row r="713" spans="2:87" ht="15.75" customHeight="1">
      <c r="B713" s="2"/>
      <c r="C713" s="10"/>
      <c r="F713" s="39"/>
      <c r="G713" s="39"/>
      <c r="H713" s="39"/>
      <c r="I713" s="39"/>
      <c r="M713" s="39"/>
      <c r="N713" s="39"/>
      <c r="O713" s="39"/>
      <c r="U713" s="39"/>
      <c r="V713" s="39"/>
      <c r="W713" s="39"/>
      <c r="AC713" s="39"/>
      <c r="AD713" s="39"/>
      <c r="AE713" s="39"/>
      <c r="AK713" s="39"/>
      <c r="AL713" s="39"/>
      <c r="AM713" s="39"/>
      <c r="AS713" s="39"/>
      <c r="AT713" s="39"/>
      <c r="AU713" s="39"/>
      <c r="AZ713" s="40"/>
      <c r="BA713" s="39"/>
      <c r="BB713" s="39"/>
      <c r="BC713" s="39"/>
      <c r="BI713" s="39"/>
      <c r="BJ713" s="39"/>
      <c r="BK713" s="39"/>
      <c r="BQ713" s="39"/>
      <c r="BR713" s="39"/>
      <c r="BS713" s="39"/>
      <c r="BY713" s="39"/>
      <c r="BZ713" s="39"/>
      <c r="CA713" s="39"/>
      <c r="CG713" s="39"/>
      <c r="CH713" s="39"/>
      <c r="CI713" s="39"/>
    </row>
    <row r="714" spans="2:87" ht="15.75" customHeight="1">
      <c r="B714" s="2"/>
      <c r="C714" s="10"/>
      <c r="F714" s="39"/>
      <c r="G714" s="39"/>
      <c r="H714" s="39"/>
      <c r="I714" s="39"/>
      <c r="M714" s="39"/>
      <c r="N714" s="39"/>
      <c r="O714" s="39"/>
      <c r="U714" s="39"/>
      <c r="V714" s="39"/>
      <c r="W714" s="39"/>
      <c r="AC714" s="39"/>
      <c r="AD714" s="39"/>
      <c r="AE714" s="39"/>
      <c r="AK714" s="39"/>
      <c r="AL714" s="39"/>
      <c r="AM714" s="39"/>
      <c r="AS714" s="39"/>
      <c r="AT714" s="39"/>
      <c r="AU714" s="39"/>
      <c r="AZ714" s="40"/>
      <c r="BA714" s="39"/>
      <c r="BB714" s="39"/>
      <c r="BC714" s="39"/>
      <c r="BI714" s="39"/>
      <c r="BJ714" s="39"/>
      <c r="BK714" s="39"/>
      <c r="BQ714" s="39"/>
      <c r="BR714" s="39"/>
      <c r="BS714" s="39"/>
      <c r="BY714" s="39"/>
      <c r="BZ714" s="39"/>
      <c r="CA714" s="39"/>
      <c r="CG714" s="39"/>
      <c r="CH714" s="39"/>
      <c r="CI714" s="39"/>
    </row>
    <row r="715" spans="2:87" ht="15.75" customHeight="1">
      <c r="B715" s="2"/>
      <c r="C715" s="10"/>
      <c r="F715" s="39"/>
      <c r="G715" s="39"/>
      <c r="H715" s="39"/>
      <c r="I715" s="39"/>
      <c r="M715" s="39"/>
      <c r="N715" s="39"/>
      <c r="O715" s="39"/>
      <c r="U715" s="39"/>
      <c r="V715" s="39"/>
      <c r="W715" s="39"/>
      <c r="AC715" s="39"/>
      <c r="AD715" s="39"/>
      <c r="AE715" s="39"/>
      <c r="AK715" s="39"/>
      <c r="AL715" s="39"/>
      <c r="AM715" s="39"/>
      <c r="AS715" s="39"/>
      <c r="AT715" s="39"/>
      <c r="AU715" s="39"/>
      <c r="AZ715" s="40"/>
      <c r="BA715" s="39"/>
      <c r="BB715" s="39"/>
      <c r="BC715" s="39"/>
      <c r="BI715" s="39"/>
      <c r="BJ715" s="39"/>
      <c r="BK715" s="39"/>
      <c r="BQ715" s="39"/>
      <c r="BR715" s="39"/>
      <c r="BS715" s="39"/>
      <c r="BY715" s="39"/>
      <c r="BZ715" s="39"/>
      <c r="CA715" s="39"/>
      <c r="CG715" s="39"/>
      <c r="CH715" s="39"/>
      <c r="CI715" s="39"/>
    </row>
    <row r="716" spans="2:87" ht="15.75" customHeight="1">
      <c r="B716" s="2"/>
      <c r="C716" s="10"/>
      <c r="F716" s="39"/>
      <c r="G716" s="39"/>
      <c r="H716" s="39"/>
      <c r="I716" s="39"/>
      <c r="M716" s="39"/>
      <c r="N716" s="39"/>
      <c r="O716" s="39"/>
      <c r="U716" s="39"/>
      <c r="V716" s="39"/>
      <c r="W716" s="39"/>
      <c r="AC716" s="39"/>
      <c r="AD716" s="39"/>
      <c r="AE716" s="39"/>
      <c r="AK716" s="39"/>
      <c r="AL716" s="39"/>
      <c r="AM716" s="39"/>
      <c r="AS716" s="39"/>
      <c r="AT716" s="39"/>
      <c r="AU716" s="39"/>
      <c r="AZ716" s="40"/>
      <c r="BA716" s="39"/>
      <c r="BB716" s="39"/>
      <c r="BC716" s="39"/>
      <c r="BI716" s="39"/>
      <c r="BJ716" s="39"/>
      <c r="BK716" s="39"/>
      <c r="BQ716" s="39"/>
      <c r="BR716" s="39"/>
      <c r="BS716" s="39"/>
      <c r="BY716" s="39"/>
      <c r="BZ716" s="39"/>
      <c r="CA716" s="39"/>
      <c r="CG716" s="39"/>
      <c r="CH716" s="39"/>
      <c r="CI716" s="39"/>
    </row>
    <row r="717" spans="2:87" ht="15.75" customHeight="1">
      <c r="B717" s="2"/>
      <c r="C717" s="10"/>
      <c r="F717" s="39"/>
      <c r="G717" s="39"/>
      <c r="H717" s="39"/>
      <c r="I717" s="39"/>
      <c r="M717" s="39"/>
      <c r="N717" s="39"/>
      <c r="O717" s="39"/>
      <c r="U717" s="39"/>
      <c r="V717" s="39"/>
      <c r="W717" s="39"/>
      <c r="AC717" s="39"/>
      <c r="AD717" s="39"/>
      <c r="AE717" s="39"/>
      <c r="AK717" s="39"/>
      <c r="AL717" s="39"/>
      <c r="AM717" s="39"/>
      <c r="AS717" s="39"/>
      <c r="AT717" s="39"/>
      <c r="AU717" s="39"/>
      <c r="AZ717" s="40"/>
      <c r="BA717" s="39"/>
      <c r="BB717" s="39"/>
      <c r="BC717" s="39"/>
      <c r="BI717" s="39"/>
      <c r="BJ717" s="39"/>
      <c r="BK717" s="39"/>
      <c r="BQ717" s="39"/>
      <c r="BR717" s="39"/>
      <c r="BS717" s="39"/>
      <c r="BY717" s="39"/>
      <c r="BZ717" s="39"/>
      <c r="CA717" s="39"/>
      <c r="CG717" s="39"/>
      <c r="CH717" s="39"/>
      <c r="CI717" s="39"/>
    </row>
    <row r="718" spans="2:87" ht="15.75" customHeight="1">
      <c r="B718" s="2"/>
      <c r="C718" s="10"/>
      <c r="F718" s="39"/>
      <c r="G718" s="39"/>
      <c r="H718" s="39"/>
      <c r="I718" s="39"/>
      <c r="M718" s="39"/>
      <c r="N718" s="39"/>
      <c r="O718" s="39"/>
      <c r="U718" s="39"/>
      <c r="V718" s="39"/>
      <c r="W718" s="39"/>
      <c r="AC718" s="39"/>
      <c r="AD718" s="39"/>
      <c r="AE718" s="39"/>
      <c r="AK718" s="39"/>
      <c r="AL718" s="39"/>
      <c r="AM718" s="39"/>
      <c r="AS718" s="39"/>
      <c r="AT718" s="39"/>
      <c r="AU718" s="39"/>
      <c r="AZ718" s="40"/>
      <c r="BA718" s="39"/>
      <c r="BB718" s="39"/>
      <c r="BC718" s="39"/>
      <c r="BI718" s="39"/>
      <c r="BJ718" s="39"/>
      <c r="BK718" s="39"/>
      <c r="BQ718" s="39"/>
      <c r="BR718" s="39"/>
      <c r="BS718" s="39"/>
      <c r="BY718" s="39"/>
      <c r="BZ718" s="39"/>
      <c r="CA718" s="39"/>
      <c r="CG718" s="39"/>
      <c r="CH718" s="39"/>
      <c r="CI718" s="39"/>
    </row>
    <row r="719" spans="2:87" ht="15.75" customHeight="1">
      <c r="B719" s="2"/>
      <c r="C719" s="10"/>
      <c r="F719" s="39"/>
      <c r="G719" s="39"/>
      <c r="H719" s="39"/>
      <c r="I719" s="39"/>
      <c r="M719" s="39"/>
      <c r="N719" s="39"/>
      <c r="O719" s="39"/>
      <c r="U719" s="39"/>
      <c r="V719" s="39"/>
      <c r="W719" s="39"/>
      <c r="AC719" s="39"/>
      <c r="AD719" s="39"/>
      <c r="AE719" s="39"/>
      <c r="AK719" s="39"/>
      <c r="AL719" s="39"/>
      <c r="AM719" s="39"/>
      <c r="AS719" s="39"/>
      <c r="AT719" s="39"/>
      <c r="AU719" s="39"/>
      <c r="AZ719" s="40"/>
      <c r="BA719" s="39"/>
      <c r="BB719" s="39"/>
      <c r="BC719" s="39"/>
      <c r="BI719" s="39"/>
      <c r="BJ719" s="39"/>
      <c r="BK719" s="39"/>
      <c r="BQ719" s="39"/>
      <c r="BR719" s="39"/>
      <c r="BS719" s="39"/>
      <c r="BY719" s="39"/>
      <c r="BZ719" s="39"/>
      <c r="CA719" s="39"/>
      <c r="CG719" s="39"/>
      <c r="CH719" s="39"/>
      <c r="CI719" s="39"/>
    </row>
    <row r="720" spans="2:87" ht="15.75" customHeight="1">
      <c r="B720" s="2"/>
      <c r="C720" s="10"/>
      <c r="F720" s="39"/>
      <c r="G720" s="39"/>
      <c r="H720" s="39"/>
      <c r="I720" s="39"/>
      <c r="M720" s="39"/>
      <c r="N720" s="39"/>
      <c r="O720" s="39"/>
      <c r="U720" s="39"/>
      <c r="V720" s="39"/>
      <c r="W720" s="39"/>
      <c r="AC720" s="39"/>
      <c r="AD720" s="39"/>
      <c r="AE720" s="39"/>
      <c r="AK720" s="39"/>
      <c r="AL720" s="39"/>
      <c r="AM720" s="39"/>
      <c r="AS720" s="39"/>
      <c r="AT720" s="39"/>
      <c r="AU720" s="39"/>
      <c r="AZ720" s="40"/>
      <c r="BA720" s="39"/>
      <c r="BB720" s="39"/>
      <c r="BC720" s="39"/>
      <c r="BI720" s="39"/>
      <c r="BJ720" s="39"/>
      <c r="BK720" s="39"/>
      <c r="BQ720" s="39"/>
      <c r="BR720" s="39"/>
      <c r="BS720" s="39"/>
      <c r="BY720" s="39"/>
      <c r="BZ720" s="39"/>
      <c r="CA720" s="39"/>
      <c r="CG720" s="39"/>
      <c r="CH720" s="39"/>
      <c r="CI720" s="39"/>
    </row>
    <row r="721" spans="2:87" ht="15.75" customHeight="1">
      <c r="B721" s="2"/>
      <c r="C721" s="10"/>
      <c r="F721" s="39"/>
      <c r="G721" s="39"/>
      <c r="H721" s="39"/>
      <c r="I721" s="39"/>
      <c r="M721" s="39"/>
      <c r="N721" s="39"/>
      <c r="O721" s="39"/>
      <c r="U721" s="39"/>
      <c r="V721" s="39"/>
      <c r="W721" s="39"/>
      <c r="AC721" s="39"/>
      <c r="AD721" s="39"/>
      <c r="AE721" s="39"/>
      <c r="AK721" s="39"/>
      <c r="AL721" s="39"/>
      <c r="AM721" s="39"/>
      <c r="AS721" s="39"/>
      <c r="AT721" s="39"/>
      <c r="AU721" s="39"/>
      <c r="AZ721" s="40"/>
      <c r="BA721" s="39"/>
      <c r="BB721" s="39"/>
      <c r="BC721" s="39"/>
      <c r="BI721" s="39"/>
      <c r="BJ721" s="39"/>
      <c r="BK721" s="39"/>
      <c r="BQ721" s="39"/>
      <c r="BR721" s="39"/>
      <c r="BS721" s="39"/>
      <c r="BY721" s="39"/>
      <c r="BZ721" s="39"/>
      <c r="CA721" s="39"/>
      <c r="CG721" s="39"/>
      <c r="CH721" s="39"/>
      <c r="CI721" s="39"/>
    </row>
    <row r="722" spans="2:87" ht="15.75" customHeight="1">
      <c r="B722" s="2"/>
      <c r="C722" s="10"/>
      <c r="F722" s="39"/>
      <c r="G722" s="39"/>
      <c r="H722" s="39"/>
      <c r="I722" s="39"/>
      <c r="M722" s="39"/>
      <c r="N722" s="39"/>
      <c r="O722" s="39"/>
      <c r="U722" s="39"/>
      <c r="V722" s="39"/>
      <c r="W722" s="39"/>
      <c r="AC722" s="39"/>
      <c r="AD722" s="39"/>
      <c r="AE722" s="39"/>
      <c r="AK722" s="39"/>
      <c r="AL722" s="39"/>
      <c r="AM722" s="39"/>
      <c r="AS722" s="39"/>
      <c r="AT722" s="39"/>
      <c r="AU722" s="39"/>
      <c r="AZ722" s="40"/>
      <c r="BA722" s="39"/>
      <c r="BB722" s="39"/>
      <c r="BC722" s="39"/>
      <c r="BI722" s="39"/>
      <c r="BJ722" s="39"/>
      <c r="BK722" s="39"/>
      <c r="BQ722" s="39"/>
      <c r="BR722" s="39"/>
      <c r="BS722" s="39"/>
      <c r="BY722" s="39"/>
      <c r="BZ722" s="39"/>
      <c r="CA722" s="39"/>
      <c r="CG722" s="39"/>
      <c r="CH722" s="39"/>
      <c r="CI722" s="39"/>
    </row>
    <row r="723" spans="2:87" ht="15.75" customHeight="1">
      <c r="B723" s="2"/>
      <c r="C723" s="10"/>
      <c r="F723" s="39"/>
      <c r="G723" s="39"/>
      <c r="H723" s="39"/>
      <c r="I723" s="39"/>
      <c r="M723" s="39"/>
      <c r="N723" s="39"/>
      <c r="O723" s="39"/>
      <c r="U723" s="39"/>
      <c r="V723" s="39"/>
      <c r="W723" s="39"/>
      <c r="AC723" s="39"/>
      <c r="AD723" s="39"/>
      <c r="AE723" s="39"/>
      <c r="AK723" s="39"/>
      <c r="AL723" s="39"/>
      <c r="AM723" s="39"/>
      <c r="AS723" s="39"/>
      <c r="AT723" s="39"/>
      <c r="AU723" s="39"/>
      <c r="AZ723" s="40"/>
      <c r="BA723" s="39"/>
      <c r="BB723" s="39"/>
      <c r="BC723" s="39"/>
      <c r="BI723" s="39"/>
      <c r="BJ723" s="39"/>
      <c r="BK723" s="39"/>
      <c r="BQ723" s="39"/>
      <c r="BR723" s="39"/>
      <c r="BS723" s="39"/>
      <c r="BY723" s="39"/>
      <c r="BZ723" s="39"/>
      <c r="CA723" s="39"/>
      <c r="CG723" s="39"/>
      <c r="CH723" s="39"/>
      <c r="CI723" s="39"/>
    </row>
    <row r="724" spans="2:87" ht="15.75" customHeight="1">
      <c r="B724" s="2"/>
      <c r="C724" s="10"/>
      <c r="F724" s="39"/>
      <c r="G724" s="39"/>
      <c r="H724" s="39"/>
      <c r="I724" s="39"/>
      <c r="M724" s="39"/>
      <c r="N724" s="39"/>
      <c r="O724" s="39"/>
      <c r="U724" s="39"/>
      <c r="V724" s="39"/>
      <c r="W724" s="39"/>
      <c r="AC724" s="39"/>
      <c r="AD724" s="39"/>
      <c r="AE724" s="39"/>
      <c r="AK724" s="39"/>
      <c r="AL724" s="39"/>
      <c r="AM724" s="39"/>
      <c r="AS724" s="39"/>
      <c r="AT724" s="39"/>
      <c r="AU724" s="39"/>
      <c r="AZ724" s="40"/>
      <c r="BA724" s="39"/>
      <c r="BB724" s="39"/>
      <c r="BC724" s="39"/>
      <c r="BI724" s="39"/>
      <c r="BJ724" s="39"/>
      <c r="BK724" s="39"/>
      <c r="BQ724" s="39"/>
      <c r="BR724" s="39"/>
      <c r="BS724" s="39"/>
      <c r="BY724" s="39"/>
      <c r="BZ724" s="39"/>
      <c r="CA724" s="39"/>
      <c r="CG724" s="39"/>
      <c r="CH724" s="39"/>
      <c r="CI724" s="39"/>
    </row>
    <row r="725" spans="2:87" ht="15.75" customHeight="1">
      <c r="B725" s="2"/>
      <c r="C725" s="10"/>
      <c r="F725" s="39"/>
      <c r="G725" s="39"/>
      <c r="H725" s="39"/>
      <c r="I725" s="39"/>
      <c r="M725" s="39"/>
      <c r="N725" s="39"/>
      <c r="O725" s="39"/>
      <c r="U725" s="39"/>
      <c r="V725" s="39"/>
      <c r="W725" s="39"/>
      <c r="AC725" s="39"/>
      <c r="AD725" s="39"/>
      <c r="AE725" s="39"/>
      <c r="AK725" s="39"/>
      <c r="AL725" s="39"/>
      <c r="AM725" s="39"/>
      <c r="AS725" s="39"/>
      <c r="AT725" s="39"/>
      <c r="AU725" s="39"/>
      <c r="AZ725" s="40"/>
      <c r="BA725" s="39"/>
      <c r="BB725" s="39"/>
      <c r="BC725" s="39"/>
      <c r="BI725" s="39"/>
      <c r="BJ725" s="39"/>
      <c r="BK725" s="39"/>
      <c r="BQ725" s="39"/>
      <c r="BR725" s="39"/>
      <c r="BS725" s="39"/>
      <c r="BY725" s="39"/>
      <c r="BZ725" s="39"/>
      <c r="CA725" s="39"/>
      <c r="CG725" s="39"/>
      <c r="CH725" s="39"/>
      <c r="CI725" s="39"/>
    </row>
    <row r="726" spans="2:87" ht="15.75" customHeight="1">
      <c r="B726" s="2"/>
      <c r="C726" s="10"/>
      <c r="F726" s="39"/>
      <c r="G726" s="39"/>
      <c r="H726" s="39"/>
      <c r="I726" s="39"/>
      <c r="M726" s="39"/>
      <c r="N726" s="39"/>
      <c r="O726" s="39"/>
      <c r="U726" s="39"/>
      <c r="V726" s="39"/>
      <c r="W726" s="39"/>
      <c r="AC726" s="39"/>
      <c r="AD726" s="39"/>
      <c r="AE726" s="39"/>
      <c r="AK726" s="39"/>
      <c r="AL726" s="39"/>
      <c r="AM726" s="39"/>
      <c r="AS726" s="39"/>
      <c r="AT726" s="39"/>
      <c r="AU726" s="39"/>
      <c r="AZ726" s="40"/>
      <c r="BA726" s="39"/>
      <c r="BB726" s="39"/>
      <c r="BC726" s="39"/>
      <c r="BI726" s="39"/>
      <c r="BJ726" s="39"/>
      <c r="BK726" s="39"/>
      <c r="BQ726" s="39"/>
      <c r="BR726" s="39"/>
      <c r="BS726" s="39"/>
      <c r="BY726" s="39"/>
      <c r="BZ726" s="39"/>
      <c r="CA726" s="39"/>
      <c r="CG726" s="39"/>
      <c r="CH726" s="39"/>
      <c r="CI726" s="39"/>
    </row>
    <row r="727" spans="2:87" ht="15.75" customHeight="1">
      <c r="B727" s="2"/>
      <c r="C727" s="10"/>
      <c r="F727" s="39"/>
      <c r="G727" s="39"/>
      <c r="H727" s="39"/>
      <c r="I727" s="39"/>
      <c r="M727" s="39"/>
      <c r="N727" s="39"/>
      <c r="O727" s="39"/>
      <c r="U727" s="39"/>
      <c r="V727" s="39"/>
      <c r="W727" s="39"/>
      <c r="AC727" s="39"/>
      <c r="AD727" s="39"/>
      <c r="AE727" s="39"/>
      <c r="AK727" s="39"/>
      <c r="AL727" s="39"/>
      <c r="AM727" s="39"/>
      <c r="AS727" s="39"/>
      <c r="AT727" s="39"/>
      <c r="AU727" s="39"/>
      <c r="AZ727" s="40"/>
      <c r="BA727" s="39"/>
      <c r="BB727" s="39"/>
      <c r="BC727" s="39"/>
      <c r="BI727" s="39"/>
      <c r="BJ727" s="39"/>
      <c r="BK727" s="39"/>
      <c r="BQ727" s="39"/>
      <c r="BR727" s="39"/>
      <c r="BS727" s="39"/>
      <c r="BY727" s="39"/>
      <c r="BZ727" s="39"/>
      <c r="CA727" s="39"/>
      <c r="CG727" s="39"/>
      <c r="CH727" s="39"/>
      <c r="CI727" s="39"/>
    </row>
    <row r="728" spans="2:87" ht="15.75" customHeight="1">
      <c r="B728" s="2"/>
      <c r="C728" s="10"/>
      <c r="F728" s="39"/>
      <c r="G728" s="39"/>
      <c r="H728" s="39"/>
      <c r="I728" s="39"/>
      <c r="M728" s="39"/>
      <c r="N728" s="39"/>
      <c r="O728" s="39"/>
      <c r="U728" s="39"/>
      <c r="V728" s="39"/>
      <c r="W728" s="39"/>
      <c r="AC728" s="39"/>
      <c r="AD728" s="39"/>
      <c r="AE728" s="39"/>
      <c r="AK728" s="39"/>
      <c r="AL728" s="39"/>
      <c r="AM728" s="39"/>
      <c r="AS728" s="39"/>
      <c r="AT728" s="39"/>
      <c r="AU728" s="39"/>
      <c r="AZ728" s="40"/>
      <c r="BA728" s="39"/>
      <c r="BB728" s="39"/>
      <c r="BC728" s="39"/>
      <c r="BI728" s="39"/>
      <c r="BJ728" s="39"/>
      <c r="BK728" s="39"/>
      <c r="BQ728" s="39"/>
      <c r="BR728" s="39"/>
      <c r="BS728" s="39"/>
      <c r="BY728" s="39"/>
      <c r="BZ728" s="39"/>
      <c r="CA728" s="39"/>
      <c r="CG728" s="39"/>
      <c r="CH728" s="39"/>
      <c r="CI728" s="39"/>
    </row>
    <row r="729" spans="2:87" ht="15.75" customHeight="1">
      <c r="B729" s="2"/>
      <c r="C729" s="10"/>
      <c r="F729" s="39"/>
      <c r="G729" s="39"/>
      <c r="H729" s="39"/>
      <c r="I729" s="39"/>
      <c r="M729" s="39"/>
      <c r="N729" s="39"/>
      <c r="O729" s="39"/>
      <c r="U729" s="39"/>
      <c r="V729" s="39"/>
      <c r="W729" s="39"/>
      <c r="AC729" s="39"/>
      <c r="AD729" s="39"/>
      <c r="AE729" s="39"/>
      <c r="AK729" s="39"/>
      <c r="AL729" s="39"/>
      <c r="AM729" s="39"/>
      <c r="AS729" s="39"/>
      <c r="AT729" s="39"/>
      <c r="AU729" s="39"/>
      <c r="AZ729" s="40"/>
      <c r="BA729" s="39"/>
      <c r="BB729" s="39"/>
      <c r="BC729" s="39"/>
      <c r="BI729" s="39"/>
      <c r="BJ729" s="39"/>
      <c r="BK729" s="39"/>
      <c r="BQ729" s="39"/>
      <c r="BR729" s="39"/>
      <c r="BS729" s="39"/>
      <c r="BY729" s="39"/>
      <c r="BZ729" s="39"/>
      <c r="CA729" s="39"/>
      <c r="CG729" s="39"/>
      <c r="CH729" s="39"/>
      <c r="CI729" s="39"/>
    </row>
    <row r="730" spans="2:87" ht="15.75" customHeight="1">
      <c r="B730" s="2"/>
      <c r="C730" s="10"/>
      <c r="F730" s="39"/>
      <c r="G730" s="39"/>
      <c r="H730" s="39"/>
      <c r="I730" s="39"/>
      <c r="M730" s="39"/>
      <c r="N730" s="39"/>
      <c r="O730" s="39"/>
      <c r="U730" s="39"/>
      <c r="V730" s="39"/>
      <c r="W730" s="39"/>
      <c r="AC730" s="39"/>
      <c r="AD730" s="39"/>
      <c r="AE730" s="39"/>
      <c r="AK730" s="39"/>
      <c r="AL730" s="39"/>
      <c r="AM730" s="39"/>
      <c r="AS730" s="39"/>
      <c r="AT730" s="39"/>
      <c r="AU730" s="39"/>
      <c r="AZ730" s="40"/>
      <c r="BA730" s="39"/>
      <c r="BB730" s="39"/>
      <c r="BC730" s="39"/>
      <c r="BI730" s="39"/>
      <c r="BJ730" s="39"/>
      <c r="BK730" s="39"/>
      <c r="BQ730" s="39"/>
      <c r="BR730" s="39"/>
      <c r="BS730" s="39"/>
      <c r="BY730" s="39"/>
      <c r="BZ730" s="39"/>
      <c r="CA730" s="39"/>
      <c r="CG730" s="39"/>
      <c r="CH730" s="39"/>
      <c r="CI730" s="39"/>
    </row>
    <row r="731" spans="2:87" ht="15.75" customHeight="1">
      <c r="B731" s="2"/>
      <c r="C731" s="10"/>
      <c r="F731" s="39"/>
      <c r="G731" s="39"/>
      <c r="H731" s="39"/>
      <c r="I731" s="39"/>
      <c r="M731" s="39"/>
      <c r="N731" s="39"/>
      <c r="O731" s="39"/>
      <c r="U731" s="39"/>
      <c r="V731" s="39"/>
      <c r="W731" s="39"/>
      <c r="AC731" s="39"/>
      <c r="AD731" s="39"/>
      <c r="AE731" s="39"/>
      <c r="AK731" s="39"/>
      <c r="AL731" s="39"/>
      <c r="AM731" s="39"/>
      <c r="AS731" s="39"/>
      <c r="AT731" s="39"/>
      <c r="AU731" s="39"/>
      <c r="AZ731" s="40"/>
      <c r="BA731" s="39"/>
      <c r="BB731" s="39"/>
      <c r="BC731" s="39"/>
      <c r="BI731" s="39"/>
      <c r="BJ731" s="39"/>
      <c r="BK731" s="39"/>
      <c r="BQ731" s="39"/>
      <c r="BR731" s="39"/>
      <c r="BS731" s="39"/>
      <c r="BY731" s="39"/>
      <c r="BZ731" s="39"/>
      <c r="CA731" s="39"/>
      <c r="CG731" s="39"/>
      <c r="CH731" s="39"/>
      <c r="CI731" s="39"/>
    </row>
    <row r="732" spans="2:87" ht="15.75" customHeight="1">
      <c r="B732" s="2"/>
      <c r="C732" s="10"/>
      <c r="F732" s="39"/>
      <c r="G732" s="39"/>
      <c r="H732" s="39"/>
      <c r="I732" s="39"/>
      <c r="M732" s="39"/>
      <c r="N732" s="39"/>
      <c r="O732" s="39"/>
      <c r="U732" s="39"/>
      <c r="V732" s="39"/>
      <c r="W732" s="39"/>
      <c r="AC732" s="39"/>
      <c r="AD732" s="39"/>
      <c r="AE732" s="39"/>
      <c r="AK732" s="39"/>
      <c r="AL732" s="39"/>
      <c r="AM732" s="39"/>
      <c r="AS732" s="39"/>
      <c r="AT732" s="39"/>
      <c r="AU732" s="39"/>
      <c r="AZ732" s="40"/>
      <c r="BA732" s="39"/>
      <c r="BB732" s="39"/>
      <c r="BC732" s="39"/>
      <c r="BI732" s="39"/>
      <c r="BJ732" s="39"/>
      <c r="BK732" s="39"/>
      <c r="BQ732" s="39"/>
      <c r="BR732" s="39"/>
      <c r="BS732" s="39"/>
      <c r="BY732" s="39"/>
      <c r="BZ732" s="39"/>
      <c r="CA732" s="39"/>
      <c r="CG732" s="39"/>
      <c r="CH732" s="39"/>
      <c r="CI732" s="39"/>
    </row>
    <row r="733" spans="2:87" ht="15.75" customHeight="1">
      <c r="B733" s="2"/>
      <c r="C733" s="10"/>
      <c r="F733" s="39"/>
      <c r="G733" s="39"/>
      <c r="H733" s="39"/>
      <c r="I733" s="39"/>
      <c r="M733" s="39"/>
      <c r="N733" s="39"/>
      <c r="O733" s="39"/>
      <c r="U733" s="39"/>
      <c r="V733" s="39"/>
      <c r="W733" s="39"/>
      <c r="AC733" s="39"/>
      <c r="AD733" s="39"/>
      <c r="AE733" s="39"/>
      <c r="AK733" s="39"/>
      <c r="AL733" s="39"/>
      <c r="AM733" s="39"/>
      <c r="AS733" s="39"/>
      <c r="AT733" s="39"/>
      <c r="AU733" s="39"/>
      <c r="AZ733" s="40"/>
      <c r="BA733" s="39"/>
      <c r="BB733" s="39"/>
      <c r="BC733" s="39"/>
      <c r="BI733" s="39"/>
      <c r="BJ733" s="39"/>
      <c r="BK733" s="39"/>
      <c r="BQ733" s="39"/>
      <c r="BR733" s="39"/>
      <c r="BS733" s="39"/>
      <c r="BY733" s="39"/>
      <c r="BZ733" s="39"/>
      <c r="CA733" s="39"/>
      <c r="CG733" s="39"/>
      <c r="CH733" s="39"/>
      <c r="CI733" s="39"/>
    </row>
    <row r="734" spans="2:87" ht="15.75" customHeight="1">
      <c r="B734" s="2"/>
      <c r="C734" s="10"/>
      <c r="F734" s="39"/>
      <c r="G734" s="39"/>
      <c r="H734" s="39"/>
      <c r="I734" s="39"/>
      <c r="M734" s="39"/>
      <c r="N734" s="39"/>
      <c r="O734" s="39"/>
      <c r="U734" s="39"/>
      <c r="V734" s="39"/>
      <c r="W734" s="39"/>
      <c r="AC734" s="39"/>
      <c r="AD734" s="39"/>
      <c r="AE734" s="39"/>
      <c r="AK734" s="39"/>
      <c r="AL734" s="39"/>
      <c r="AM734" s="39"/>
      <c r="AS734" s="39"/>
      <c r="AT734" s="39"/>
      <c r="AU734" s="39"/>
      <c r="AZ734" s="40"/>
      <c r="BA734" s="39"/>
      <c r="BB734" s="39"/>
      <c r="BC734" s="39"/>
      <c r="BI734" s="39"/>
      <c r="BJ734" s="39"/>
      <c r="BK734" s="39"/>
      <c r="BQ734" s="39"/>
      <c r="BR734" s="39"/>
      <c r="BS734" s="39"/>
      <c r="BY734" s="39"/>
      <c r="BZ734" s="39"/>
      <c r="CA734" s="39"/>
      <c r="CG734" s="39"/>
      <c r="CH734" s="39"/>
      <c r="CI734" s="39"/>
    </row>
    <row r="735" spans="2:87" ht="15.75" customHeight="1">
      <c r="B735" s="2"/>
      <c r="C735" s="10"/>
      <c r="F735" s="39"/>
      <c r="G735" s="39"/>
      <c r="H735" s="39"/>
      <c r="I735" s="39"/>
      <c r="M735" s="39"/>
      <c r="N735" s="39"/>
      <c r="O735" s="39"/>
      <c r="U735" s="39"/>
      <c r="V735" s="39"/>
      <c r="W735" s="39"/>
      <c r="AC735" s="39"/>
      <c r="AD735" s="39"/>
      <c r="AE735" s="39"/>
      <c r="AK735" s="39"/>
      <c r="AL735" s="39"/>
      <c r="AM735" s="39"/>
      <c r="AS735" s="39"/>
      <c r="AT735" s="39"/>
      <c r="AU735" s="39"/>
      <c r="AZ735" s="40"/>
      <c r="BA735" s="39"/>
      <c r="BB735" s="39"/>
      <c r="BC735" s="39"/>
      <c r="BI735" s="39"/>
      <c r="BJ735" s="39"/>
      <c r="BK735" s="39"/>
      <c r="BQ735" s="39"/>
      <c r="BR735" s="39"/>
      <c r="BS735" s="39"/>
      <c r="BY735" s="39"/>
      <c r="BZ735" s="39"/>
      <c r="CA735" s="39"/>
      <c r="CG735" s="39"/>
      <c r="CH735" s="39"/>
      <c r="CI735" s="39"/>
    </row>
    <row r="736" spans="2:87" ht="15.75" customHeight="1">
      <c r="B736" s="2"/>
      <c r="C736" s="10"/>
      <c r="F736" s="39"/>
      <c r="G736" s="39"/>
      <c r="H736" s="39"/>
      <c r="I736" s="39"/>
      <c r="M736" s="39"/>
      <c r="N736" s="39"/>
      <c r="O736" s="39"/>
      <c r="U736" s="39"/>
      <c r="V736" s="39"/>
      <c r="W736" s="39"/>
      <c r="AC736" s="39"/>
      <c r="AD736" s="39"/>
      <c r="AE736" s="39"/>
      <c r="AK736" s="39"/>
      <c r="AL736" s="39"/>
      <c r="AM736" s="39"/>
      <c r="AS736" s="39"/>
      <c r="AT736" s="39"/>
      <c r="AU736" s="39"/>
      <c r="AZ736" s="40"/>
      <c r="BA736" s="39"/>
      <c r="BB736" s="39"/>
      <c r="BC736" s="39"/>
      <c r="BI736" s="39"/>
      <c r="BJ736" s="39"/>
      <c r="BK736" s="39"/>
      <c r="BQ736" s="39"/>
      <c r="BR736" s="39"/>
      <c r="BS736" s="39"/>
      <c r="BY736" s="39"/>
      <c r="BZ736" s="39"/>
      <c r="CA736" s="39"/>
      <c r="CG736" s="39"/>
      <c r="CH736" s="39"/>
      <c r="CI736" s="39"/>
    </row>
    <row r="737" spans="2:87" ht="15.75" customHeight="1">
      <c r="B737" s="2"/>
      <c r="C737" s="10"/>
      <c r="F737" s="39"/>
      <c r="G737" s="39"/>
      <c r="H737" s="39"/>
      <c r="I737" s="39"/>
      <c r="M737" s="39"/>
      <c r="N737" s="39"/>
      <c r="O737" s="39"/>
      <c r="U737" s="39"/>
      <c r="V737" s="39"/>
      <c r="W737" s="39"/>
      <c r="AC737" s="39"/>
      <c r="AD737" s="39"/>
      <c r="AE737" s="39"/>
      <c r="AK737" s="39"/>
      <c r="AL737" s="39"/>
      <c r="AM737" s="39"/>
      <c r="AS737" s="39"/>
      <c r="AT737" s="39"/>
      <c r="AU737" s="39"/>
      <c r="AZ737" s="40"/>
      <c r="BA737" s="39"/>
      <c r="BB737" s="39"/>
      <c r="BC737" s="39"/>
      <c r="BI737" s="39"/>
      <c r="BJ737" s="39"/>
      <c r="BK737" s="39"/>
      <c r="BQ737" s="39"/>
      <c r="BR737" s="39"/>
      <c r="BS737" s="39"/>
      <c r="BY737" s="39"/>
      <c r="BZ737" s="39"/>
      <c r="CA737" s="39"/>
      <c r="CG737" s="39"/>
      <c r="CH737" s="39"/>
      <c r="CI737" s="39"/>
    </row>
    <row r="738" spans="2:87" ht="15.75" customHeight="1">
      <c r="B738" s="2"/>
      <c r="C738" s="10"/>
      <c r="F738" s="39"/>
      <c r="G738" s="39"/>
      <c r="H738" s="39"/>
      <c r="I738" s="39"/>
      <c r="M738" s="39"/>
      <c r="N738" s="39"/>
      <c r="O738" s="39"/>
      <c r="U738" s="39"/>
      <c r="V738" s="39"/>
      <c r="W738" s="39"/>
      <c r="AC738" s="39"/>
      <c r="AD738" s="39"/>
      <c r="AE738" s="39"/>
      <c r="AK738" s="39"/>
      <c r="AL738" s="39"/>
      <c r="AM738" s="39"/>
      <c r="AS738" s="39"/>
      <c r="AT738" s="39"/>
      <c r="AU738" s="39"/>
      <c r="AZ738" s="40"/>
      <c r="BA738" s="39"/>
      <c r="BB738" s="39"/>
      <c r="BC738" s="39"/>
      <c r="BI738" s="39"/>
      <c r="BJ738" s="39"/>
      <c r="BK738" s="39"/>
      <c r="BQ738" s="39"/>
      <c r="BR738" s="39"/>
      <c r="BS738" s="39"/>
      <c r="BY738" s="39"/>
      <c r="BZ738" s="39"/>
      <c r="CA738" s="39"/>
      <c r="CG738" s="39"/>
      <c r="CH738" s="39"/>
      <c r="CI738" s="39"/>
    </row>
    <row r="739" spans="2:87" ht="15.75" customHeight="1">
      <c r="B739" s="2"/>
      <c r="C739" s="10"/>
      <c r="F739" s="39"/>
      <c r="G739" s="39"/>
      <c r="H739" s="39"/>
      <c r="I739" s="39"/>
      <c r="M739" s="39"/>
      <c r="N739" s="39"/>
      <c r="O739" s="39"/>
      <c r="U739" s="39"/>
      <c r="V739" s="39"/>
      <c r="W739" s="39"/>
      <c r="AC739" s="39"/>
      <c r="AD739" s="39"/>
      <c r="AE739" s="39"/>
      <c r="AK739" s="39"/>
      <c r="AL739" s="39"/>
      <c r="AM739" s="39"/>
      <c r="AS739" s="39"/>
      <c r="AT739" s="39"/>
      <c r="AU739" s="39"/>
      <c r="AZ739" s="40"/>
      <c r="BA739" s="39"/>
      <c r="BB739" s="39"/>
      <c r="BC739" s="39"/>
      <c r="BI739" s="39"/>
      <c r="BJ739" s="39"/>
      <c r="BK739" s="39"/>
      <c r="BQ739" s="39"/>
      <c r="BR739" s="39"/>
      <c r="BS739" s="39"/>
      <c r="BY739" s="39"/>
      <c r="BZ739" s="39"/>
      <c r="CA739" s="39"/>
      <c r="CG739" s="39"/>
      <c r="CH739" s="39"/>
      <c r="CI739" s="39"/>
    </row>
    <row r="740" spans="2:87" ht="15.75" customHeight="1">
      <c r="B740" s="2"/>
      <c r="C740" s="10"/>
      <c r="F740" s="39"/>
      <c r="G740" s="39"/>
      <c r="H740" s="39"/>
      <c r="I740" s="39"/>
      <c r="M740" s="39"/>
      <c r="N740" s="39"/>
      <c r="O740" s="39"/>
      <c r="U740" s="39"/>
      <c r="V740" s="39"/>
      <c r="W740" s="39"/>
      <c r="AC740" s="39"/>
      <c r="AD740" s="39"/>
      <c r="AE740" s="39"/>
      <c r="AK740" s="39"/>
      <c r="AL740" s="39"/>
      <c r="AM740" s="39"/>
      <c r="AS740" s="39"/>
      <c r="AT740" s="39"/>
      <c r="AU740" s="39"/>
      <c r="AZ740" s="40"/>
      <c r="BA740" s="39"/>
      <c r="BB740" s="39"/>
      <c r="BC740" s="39"/>
      <c r="BI740" s="39"/>
      <c r="BJ740" s="39"/>
      <c r="BK740" s="39"/>
      <c r="BQ740" s="39"/>
      <c r="BR740" s="39"/>
      <c r="BS740" s="39"/>
      <c r="BY740" s="39"/>
      <c r="BZ740" s="39"/>
      <c r="CA740" s="39"/>
      <c r="CG740" s="39"/>
      <c r="CH740" s="39"/>
      <c r="CI740" s="39"/>
    </row>
    <row r="741" spans="2:87" ht="15.75" customHeight="1">
      <c r="B741" s="2"/>
      <c r="C741" s="10"/>
      <c r="F741" s="39"/>
      <c r="G741" s="39"/>
      <c r="H741" s="39"/>
      <c r="I741" s="39"/>
      <c r="M741" s="39"/>
      <c r="N741" s="39"/>
      <c r="O741" s="39"/>
      <c r="U741" s="39"/>
      <c r="V741" s="39"/>
      <c r="W741" s="39"/>
      <c r="AC741" s="39"/>
      <c r="AD741" s="39"/>
      <c r="AE741" s="39"/>
      <c r="AK741" s="39"/>
      <c r="AL741" s="39"/>
      <c r="AM741" s="39"/>
      <c r="AS741" s="39"/>
      <c r="AT741" s="39"/>
      <c r="AU741" s="39"/>
      <c r="AZ741" s="40"/>
      <c r="BA741" s="39"/>
      <c r="BB741" s="39"/>
      <c r="BC741" s="39"/>
      <c r="BI741" s="39"/>
      <c r="BJ741" s="39"/>
      <c r="BK741" s="39"/>
      <c r="BQ741" s="39"/>
      <c r="BR741" s="39"/>
      <c r="BS741" s="39"/>
      <c r="BY741" s="39"/>
      <c r="BZ741" s="39"/>
      <c r="CA741" s="39"/>
      <c r="CG741" s="39"/>
      <c r="CH741" s="39"/>
      <c r="CI741" s="39"/>
    </row>
    <row r="742" spans="2:87" ht="15.75" customHeight="1">
      <c r="B742" s="2"/>
      <c r="C742" s="10"/>
      <c r="F742" s="39"/>
      <c r="G742" s="39"/>
      <c r="H742" s="39"/>
      <c r="I742" s="39"/>
      <c r="M742" s="39"/>
      <c r="N742" s="39"/>
      <c r="O742" s="39"/>
      <c r="U742" s="39"/>
      <c r="V742" s="39"/>
      <c r="W742" s="39"/>
      <c r="AC742" s="39"/>
      <c r="AD742" s="39"/>
      <c r="AE742" s="39"/>
      <c r="AK742" s="39"/>
      <c r="AL742" s="39"/>
      <c r="AM742" s="39"/>
      <c r="AS742" s="39"/>
      <c r="AT742" s="39"/>
      <c r="AU742" s="39"/>
      <c r="AZ742" s="40"/>
      <c r="BA742" s="39"/>
      <c r="BB742" s="39"/>
      <c r="BC742" s="39"/>
      <c r="BI742" s="39"/>
      <c r="BJ742" s="39"/>
      <c r="BK742" s="39"/>
      <c r="BQ742" s="39"/>
      <c r="BR742" s="39"/>
      <c r="BS742" s="39"/>
      <c r="BY742" s="39"/>
      <c r="BZ742" s="39"/>
      <c r="CA742" s="39"/>
      <c r="CG742" s="39"/>
      <c r="CH742" s="39"/>
      <c r="CI742" s="39"/>
    </row>
    <row r="743" spans="2:87" ht="15.75" customHeight="1">
      <c r="B743" s="2"/>
      <c r="C743" s="10"/>
      <c r="F743" s="39"/>
      <c r="G743" s="39"/>
      <c r="H743" s="39"/>
      <c r="I743" s="39"/>
      <c r="M743" s="39"/>
      <c r="N743" s="39"/>
      <c r="O743" s="39"/>
      <c r="U743" s="39"/>
      <c r="V743" s="39"/>
      <c r="W743" s="39"/>
      <c r="AC743" s="39"/>
      <c r="AD743" s="39"/>
      <c r="AE743" s="39"/>
      <c r="AK743" s="39"/>
      <c r="AL743" s="39"/>
      <c r="AM743" s="39"/>
      <c r="AS743" s="39"/>
      <c r="AT743" s="39"/>
      <c r="AU743" s="39"/>
      <c r="AZ743" s="40"/>
      <c r="BA743" s="39"/>
      <c r="BB743" s="39"/>
      <c r="BC743" s="39"/>
      <c r="BI743" s="39"/>
      <c r="BJ743" s="39"/>
      <c r="BK743" s="39"/>
      <c r="BQ743" s="39"/>
      <c r="BR743" s="39"/>
      <c r="BS743" s="39"/>
      <c r="BY743" s="39"/>
      <c r="BZ743" s="39"/>
      <c r="CA743" s="39"/>
      <c r="CG743" s="39"/>
      <c r="CH743" s="39"/>
      <c r="CI743" s="39"/>
    </row>
    <row r="744" spans="2:87" ht="15.75" customHeight="1">
      <c r="B744" s="2"/>
      <c r="C744" s="10"/>
      <c r="F744" s="39"/>
      <c r="G744" s="39"/>
      <c r="H744" s="39"/>
      <c r="I744" s="39"/>
      <c r="M744" s="39"/>
      <c r="N744" s="39"/>
      <c r="O744" s="39"/>
      <c r="U744" s="39"/>
      <c r="V744" s="39"/>
      <c r="W744" s="39"/>
      <c r="AC744" s="39"/>
      <c r="AD744" s="39"/>
      <c r="AE744" s="39"/>
      <c r="AK744" s="39"/>
      <c r="AL744" s="39"/>
      <c r="AM744" s="39"/>
      <c r="AS744" s="39"/>
      <c r="AT744" s="39"/>
      <c r="AU744" s="39"/>
      <c r="AZ744" s="40"/>
      <c r="BA744" s="39"/>
      <c r="BB744" s="39"/>
      <c r="BC744" s="39"/>
      <c r="BI744" s="39"/>
      <c r="BJ744" s="39"/>
      <c r="BK744" s="39"/>
      <c r="BQ744" s="39"/>
      <c r="BR744" s="39"/>
      <c r="BS744" s="39"/>
      <c r="BY744" s="39"/>
      <c r="BZ744" s="39"/>
      <c r="CA744" s="39"/>
      <c r="CG744" s="39"/>
      <c r="CH744" s="39"/>
      <c r="CI744" s="39"/>
    </row>
    <row r="745" spans="2:87" ht="15.75" customHeight="1">
      <c r="B745" s="2"/>
      <c r="C745" s="10"/>
      <c r="F745" s="39"/>
      <c r="G745" s="39"/>
      <c r="H745" s="39"/>
      <c r="I745" s="39"/>
      <c r="M745" s="39"/>
      <c r="N745" s="39"/>
      <c r="O745" s="39"/>
      <c r="U745" s="39"/>
      <c r="V745" s="39"/>
      <c r="W745" s="39"/>
      <c r="AC745" s="39"/>
      <c r="AD745" s="39"/>
      <c r="AE745" s="39"/>
      <c r="AK745" s="39"/>
      <c r="AL745" s="39"/>
      <c r="AM745" s="39"/>
      <c r="AS745" s="39"/>
      <c r="AT745" s="39"/>
      <c r="AU745" s="39"/>
      <c r="AZ745" s="40"/>
      <c r="BA745" s="39"/>
      <c r="BB745" s="39"/>
      <c r="BC745" s="39"/>
      <c r="BI745" s="39"/>
      <c r="BJ745" s="39"/>
      <c r="BK745" s="39"/>
      <c r="BQ745" s="39"/>
      <c r="BR745" s="39"/>
      <c r="BS745" s="39"/>
      <c r="BY745" s="39"/>
      <c r="BZ745" s="39"/>
      <c r="CA745" s="39"/>
      <c r="CG745" s="39"/>
      <c r="CH745" s="39"/>
      <c r="CI745" s="39"/>
    </row>
    <row r="746" spans="2:87" ht="15.75" customHeight="1">
      <c r="B746" s="2"/>
      <c r="C746" s="10"/>
      <c r="F746" s="39"/>
      <c r="G746" s="39"/>
      <c r="H746" s="39"/>
      <c r="I746" s="39"/>
      <c r="M746" s="39"/>
      <c r="N746" s="39"/>
      <c r="O746" s="39"/>
      <c r="U746" s="39"/>
      <c r="V746" s="39"/>
      <c r="W746" s="39"/>
      <c r="AC746" s="39"/>
      <c r="AD746" s="39"/>
      <c r="AE746" s="39"/>
      <c r="AK746" s="39"/>
      <c r="AL746" s="39"/>
      <c r="AM746" s="39"/>
      <c r="AS746" s="39"/>
      <c r="AT746" s="39"/>
      <c r="AU746" s="39"/>
      <c r="AZ746" s="40"/>
      <c r="BA746" s="39"/>
      <c r="BB746" s="39"/>
      <c r="BC746" s="39"/>
      <c r="BI746" s="39"/>
      <c r="BJ746" s="39"/>
      <c r="BK746" s="39"/>
      <c r="BQ746" s="39"/>
      <c r="BR746" s="39"/>
      <c r="BS746" s="39"/>
      <c r="BY746" s="39"/>
      <c r="BZ746" s="39"/>
      <c r="CA746" s="39"/>
      <c r="CG746" s="39"/>
      <c r="CH746" s="39"/>
      <c r="CI746" s="39"/>
    </row>
    <row r="747" spans="2:87" ht="15.75" customHeight="1">
      <c r="B747" s="2"/>
      <c r="C747" s="10"/>
      <c r="F747" s="39"/>
      <c r="G747" s="39"/>
      <c r="H747" s="39"/>
      <c r="I747" s="39"/>
      <c r="M747" s="39"/>
      <c r="N747" s="39"/>
      <c r="O747" s="39"/>
      <c r="U747" s="39"/>
      <c r="V747" s="39"/>
      <c r="W747" s="39"/>
      <c r="AC747" s="39"/>
      <c r="AD747" s="39"/>
      <c r="AE747" s="39"/>
      <c r="AK747" s="39"/>
      <c r="AL747" s="39"/>
      <c r="AM747" s="39"/>
      <c r="AS747" s="39"/>
      <c r="AT747" s="39"/>
      <c r="AU747" s="39"/>
      <c r="AZ747" s="40"/>
      <c r="BA747" s="39"/>
      <c r="BB747" s="39"/>
      <c r="BC747" s="39"/>
      <c r="BI747" s="39"/>
      <c r="BJ747" s="39"/>
      <c r="BK747" s="39"/>
      <c r="BQ747" s="39"/>
      <c r="BR747" s="39"/>
      <c r="BS747" s="39"/>
      <c r="BY747" s="39"/>
      <c r="BZ747" s="39"/>
      <c r="CA747" s="39"/>
      <c r="CG747" s="39"/>
      <c r="CH747" s="39"/>
      <c r="CI747" s="39"/>
    </row>
    <row r="748" spans="2:87" ht="15.75" customHeight="1">
      <c r="B748" s="2"/>
      <c r="C748" s="10"/>
      <c r="F748" s="39"/>
      <c r="G748" s="39"/>
      <c r="H748" s="39"/>
      <c r="I748" s="39"/>
      <c r="M748" s="39"/>
      <c r="N748" s="39"/>
      <c r="O748" s="39"/>
      <c r="U748" s="39"/>
      <c r="V748" s="39"/>
      <c r="W748" s="39"/>
      <c r="AC748" s="39"/>
      <c r="AD748" s="39"/>
      <c r="AE748" s="39"/>
      <c r="AK748" s="39"/>
      <c r="AL748" s="39"/>
      <c r="AM748" s="39"/>
      <c r="AS748" s="39"/>
      <c r="AT748" s="39"/>
      <c r="AU748" s="39"/>
      <c r="AZ748" s="40"/>
      <c r="BA748" s="39"/>
      <c r="BB748" s="39"/>
      <c r="BC748" s="39"/>
      <c r="BI748" s="39"/>
      <c r="BJ748" s="39"/>
      <c r="BK748" s="39"/>
      <c r="BQ748" s="39"/>
      <c r="BR748" s="39"/>
      <c r="BS748" s="39"/>
      <c r="BY748" s="39"/>
      <c r="BZ748" s="39"/>
      <c r="CA748" s="39"/>
      <c r="CG748" s="39"/>
      <c r="CH748" s="39"/>
      <c r="CI748" s="39"/>
    </row>
    <row r="749" spans="2:87" ht="15.75" customHeight="1">
      <c r="B749" s="2"/>
      <c r="C749" s="10"/>
      <c r="F749" s="39"/>
      <c r="G749" s="39"/>
      <c r="H749" s="39"/>
      <c r="I749" s="39"/>
      <c r="M749" s="39"/>
      <c r="N749" s="39"/>
      <c r="O749" s="39"/>
      <c r="U749" s="39"/>
      <c r="V749" s="39"/>
      <c r="W749" s="39"/>
      <c r="AC749" s="39"/>
      <c r="AD749" s="39"/>
      <c r="AE749" s="39"/>
      <c r="AK749" s="39"/>
      <c r="AL749" s="39"/>
      <c r="AM749" s="39"/>
      <c r="AS749" s="39"/>
      <c r="AT749" s="39"/>
      <c r="AU749" s="39"/>
      <c r="AZ749" s="40"/>
      <c r="BA749" s="39"/>
      <c r="BB749" s="39"/>
      <c r="BC749" s="39"/>
      <c r="BI749" s="39"/>
      <c r="BJ749" s="39"/>
      <c r="BK749" s="39"/>
      <c r="BQ749" s="39"/>
      <c r="BR749" s="39"/>
      <c r="BS749" s="39"/>
      <c r="BY749" s="39"/>
      <c r="BZ749" s="39"/>
      <c r="CA749" s="39"/>
      <c r="CG749" s="39"/>
      <c r="CH749" s="39"/>
      <c r="CI749" s="39"/>
    </row>
    <row r="750" spans="2:87" ht="15.75" customHeight="1">
      <c r="B750" s="2"/>
      <c r="C750" s="10"/>
      <c r="F750" s="39"/>
      <c r="G750" s="39"/>
      <c r="H750" s="39"/>
      <c r="I750" s="39"/>
      <c r="M750" s="39"/>
      <c r="N750" s="39"/>
      <c r="O750" s="39"/>
      <c r="U750" s="39"/>
      <c r="V750" s="39"/>
      <c r="W750" s="39"/>
      <c r="AC750" s="39"/>
      <c r="AD750" s="39"/>
      <c r="AE750" s="39"/>
      <c r="AK750" s="39"/>
      <c r="AL750" s="39"/>
      <c r="AM750" s="39"/>
      <c r="AS750" s="39"/>
      <c r="AT750" s="39"/>
      <c r="AU750" s="39"/>
      <c r="AZ750" s="40"/>
      <c r="BA750" s="39"/>
      <c r="BB750" s="39"/>
      <c r="BC750" s="39"/>
      <c r="BI750" s="39"/>
      <c r="BJ750" s="39"/>
      <c r="BK750" s="39"/>
      <c r="BQ750" s="39"/>
      <c r="BR750" s="39"/>
      <c r="BS750" s="39"/>
      <c r="BY750" s="39"/>
      <c r="BZ750" s="39"/>
      <c r="CA750" s="39"/>
      <c r="CG750" s="39"/>
      <c r="CH750" s="39"/>
      <c r="CI750" s="39"/>
    </row>
    <row r="751" spans="2:87" ht="15.75" customHeight="1">
      <c r="B751" s="2"/>
      <c r="C751" s="10"/>
      <c r="F751" s="39"/>
      <c r="G751" s="39"/>
      <c r="H751" s="39"/>
      <c r="I751" s="39"/>
      <c r="M751" s="39"/>
      <c r="N751" s="39"/>
      <c r="O751" s="39"/>
      <c r="U751" s="39"/>
      <c r="V751" s="39"/>
      <c r="W751" s="39"/>
      <c r="AC751" s="39"/>
      <c r="AD751" s="39"/>
      <c r="AE751" s="39"/>
      <c r="AK751" s="39"/>
      <c r="AL751" s="39"/>
      <c r="AM751" s="39"/>
      <c r="AS751" s="39"/>
      <c r="AT751" s="39"/>
      <c r="AU751" s="39"/>
      <c r="AZ751" s="40"/>
      <c r="BA751" s="39"/>
      <c r="BB751" s="39"/>
      <c r="BC751" s="39"/>
      <c r="BI751" s="39"/>
      <c r="BJ751" s="39"/>
      <c r="BK751" s="39"/>
      <c r="BQ751" s="39"/>
      <c r="BR751" s="39"/>
      <c r="BS751" s="39"/>
      <c r="BY751" s="39"/>
      <c r="BZ751" s="39"/>
      <c r="CA751" s="39"/>
      <c r="CG751" s="39"/>
      <c r="CH751" s="39"/>
      <c r="CI751" s="39"/>
    </row>
    <row r="752" spans="2:87" ht="15.75" customHeight="1">
      <c r="B752" s="2"/>
      <c r="C752" s="10"/>
      <c r="F752" s="39"/>
      <c r="G752" s="39"/>
      <c r="H752" s="39"/>
      <c r="I752" s="39"/>
      <c r="M752" s="39"/>
      <c r="N752" s="39"/>
      <c r="O752" s="39"/>
      <c r="U752" s="39"/>
      <c r="V752" s="39"/>
      <c r="W752" s="39"/>
      <c r="AC752" s="39"/>
      <c r="AD752" s="39"/>
      <c r="AE752" s="39"/>
      <c r="AK752" s="39"/>
      <c r="AL752" s="39"/>
      <c r="AM752" s="39"/>
      <c r="AS752" s="39"/>
      <c r="AT752" s="39"/>
      <c r="AU752" s="39"/>
      <c r="AZ752" s="40"/>
      <c r="BA752" s="39"/>
      <c r="BB752" s="39"/>
      <c r="BC752" s="39"/>
      <c r="BI752" s="39"/>
      <c r="BJ752" s="39"/>
      <c r="BK752" s="39"/>
      <c r="BQ752" s="39"/>
      <c r="BR752" s="39"/>
      <c r="BS752" s="39"/>
      <c r="BY752" s="39"/>
      <c r="BZ752" s="39"/>
      <c r="CA752" s="39"/>
      <c r="CG752" s="39"/>
      <c r="CH752" s="39"/>
      <c r="CI752" s="39"/>
    </row>
    <row r="753" spans="2:87" ht="15.75" customHeight="1">
      <c r="B753" s="2"/>
      <c r="C753" s="10"/>
      <c r="F753" s="39"/>
      <c r="G753" s="39"/>
      <c r="H753" s="39"/>
      <c r="I753" s="39"/>
      <c r="M753" s="39"/>
      <c r="N753" s="39"/>
      <c r="O753" s="39"/>
      <c r="U753" s="39"/>
      <c r="V753" s="39"/>
      <c r="W753" s="39"/>
      <c r="AC753" s="39"/>
      <c r="AD753" s="39"/>
      <c r="AE753" s="39"/>
      <c r="AK753" s="39"/>
      <c r="AL753" s="39"/>
      <c r="AM753" s="39"/>
      <c r="AS753" s="39"/>
      <c r="AT753" s="39"/>
      <c r="AU753" s="39"/>
      <c r="AZ753" s="40"/>
      <c r="BA753" s="39"/>
      <c r="BB753" s="39"/>
      <c r="BC753" s="39"/>
      <c r="BI753" s="39"/>
      <c r="BJ753" s="39"/>
      <c r="BK753" s="39"/>
      <c r="BQ753" s="39"/>
      <c r="BR753" s="39"/>
      <c r="BS753" s="39"/>
      <c r="BY753" s="39"/>
      <c r="BZ753" s="39"/>
      <c r="CA753" s="39"/>
      <c r="CG753" s="39"/>
      <c r="CH753" s="39"/>
      <c r="CI753" s="39"/>
    </row>
    <row r="754" spans="2:87" ht="15.75" customHeight="1">
      <c r="B754" s="2"/>
      <c r="C754" s="10"/>
      <c r="F754" s="39"/>
      <c r="G754" s="39"/>
      <c r="H754" s="39"/>
      <c r="I754" s="39"/>
      <c r="M754" s="39"/>
      <c r="N754" s="39"/>
      <c r="O754" s="39"/>
      <c r="U754" s="39"/>
      <c r="V754" s="39"/>
      <c r="W754" s="39"/>
      <c r="AC754" s="39"/>
      <c r="AD754" s="39"/>
      <c r="AE754" s="39"/>
      <c r="AK754" s="39"/>
      <c r="AL754" s="39"/>
      <c r="AM754" s="39"/>
      <c r="AS754" s="39"/>
      <c r="AT754" s="39"/>
      <c r="AU754" s="39"/>
      <c r="AZ754" s="40"/>
      <c r="BA754" s="39"/>
      <c r="BB754" s="39"/>
      <c r="BC754" s="39"/>
      <c r="BI754" s="39"/>
      <c r="BJ754" s="39"/>
      <c r="BK754" s="39"/>
      <c r="BQ754" s="39"/>
      <c r="BR754" s="39"/>
      <c r="BS754" s="39"/>
      <c r="BY754" s="39"/>
      <c r="BZ754" s="39"/>
      <c r="CA754" s="39"/>
      <c r="CG754" s="39"/>
      <c r="CH754" s="39"/>
      <c r="CI754" s="39"/>
    </row>
    <row r="755" spans="2:87" ht="15.75" customHeight="1">
      <c r="B755" s="2"/>
      <c r="C755" s="10"/>
      <c r="F755" s="39"/>
      <c r="G755" s="39"/>
      <c r="H755" s="39"/>
      <c r="I755" s="39"/>
      <c r="M755" s="39"/>
      <c r="N755" s="39"/>
      <c r="O755" s="39"/>
      <c r="U755" s="39"/>
      <c r="V755" s="39"/>
      <c r="W755" s="39"/>
      <c r="AC755" s="39"/>
      <c r="AD755" s="39"/>
      <c r="AE755" s="39"/>
      <c r="AK755" s="39"/>
      <c r="AL755" s="39"/>
      <c r="AM755" s="39"/>
      <c r="AS755" s="39"/>
      <c r="AT755" s="39"/>
      <c r="AU755" s="39"/>
      <c r="AZ755" s="40"/>
      <c r="BA755" s="39"/>
      <c r="BB755" s="39"/>
      <c r="BC755" s="39"/>
      <c r="BI755" s="39"/>
      <c r="BJ755" s="39"/>
      <c r="BK755" s="39"/>
      <c r="BQ755" s="39"/>
      <c r="BR755" s="39"/>
      <c r="BS755" s="39"/>
      <c r="BY755" s="39"/>
      <c r="BZ755" s="39"/>
      <c r="CA755" s="39"/>
      <c r="CG755" s="39"/>
      <c r="CH755" s="39"/>
      <c r="CI755" s="39"/>
    </row>
    <row r="756" spans="2:87" ht="15.75" customHeight="1">
      <c r="B756" s="2"/>
      <c r="C756" s="10"/>
      <c r="F756" s="39"/>
      <c r="G756" s="39"/>
      <c r="H756" s="39"/>
      <c r="I756" s="39"/>
      <c r="M756" s="39"/>
      <c r="N756" s="39"/>
      <c r="O756" s="39"/>
      <c r="U756" s="39"/>
      <c r="V756" s="39"/>
      <c r="W756" s="39"/>
      <c r="AC756" s="39"/>
      <c r="AD756" s="39"/>
      <c r="AE756" s="39"/>
      <c r="AK756" s="39"/>
      <c r="AL756" s="39"/>
      <c r="AM756" s="39"/>
      <c r="AS756" s="39"/>
      <c r="AT756" s="39"/>
      <c r="AU756" s="39"/>
      <c r="AZ756" s="40"/>
      <c r="BA756" s="39"/>
      <c r="BB756" s="39"/>
      <c r="BC756" s="39"/>
      <c r="BI756" s="39"/>
      <c r="BJ756" s="39"/>
      <c r="BK756" s="39"/>
      <c r="BQ756" s="39"/>
      <c r="BR756" s="39"/>
      <c r="BS756" s="39"/>
      <c r="BY756" s="39"/>
      <c r="BZ756" s="39"/>
      <c r="CA756" s="39"/>
      <c r="CG756" s="39"/>
      <c r="CH756" s="39"/>
      <c r="CI756" s="39"/>
    </row>
    <row r="757" spans="2:87" ht="15.75" customHeight="1">
      <c r="B757" s="2"/>
      <c r="C757" s="10"/>
      <c r="F757" s="39"/>
      <c r="G757" s="39"/>
      <c r="H757" s="39"/>
      <c r="I757" s="39"/>
      <c r="M757" s="39"/>
      <c r="N757" s="39"/>
      <c r="O757" s="39"/>
      <c r="U757" s="39"/>
      <c r="V757" s="39"/>
      <c r="W757" s="39"/>
      <c r="AC757" s="39"/>
      <c r="AD757" s="39"/>
      <c r="AE757" s="39"/>
      <c r="AK757" s="39"/>
      <c r="AL757" s="39"/>
      <c r="AM757" s="39"/>
      <c r="AS757" s="39"/>
      <c r="AT757" s="39"/>
      <c r="AU757" s="39"/>
      <c r="AZ757" s="40"/>
      <c r="BA757" s="39"/>
      <c r="BB757" s="39"/>
      <c r="BC757" s="39"/>
      <c r="BI757" s="39"/>
      <c r="BJ757" s="39"/>
      <c r="BK757" s="39"/>
      <c r="BQ757" s="39"/>
      <c r="BR757" s="39"/>
      <c r="BS757" s="39"/>
      <c r="BY757" s="39"/>
      <c r="BZ757" s="39"/>
      <c r="CA757" s="39"/>
      <c r="CG757" s="39"/>
      <c r="CH757" s="39"/>
      <c r="CI757" s="39"/>
    </row>
    <row r="758" spans="2:87" ht="15.75" customHeight="1">
      <c r="B758" s="2"/>
      <c r="C758" s="10"/>
      <c r="F758" s="39"/>
      <c r="G758" s="39"/>
      <c r="H758" s="39"/>
      <c r="I758" s="39"/>
      <c r="M758" s="39"/>
      <c r="N758" s="39"/>
      <c r="O758" s="39"/>
      <c r="U758" s="39"/>
      <c r="V758" s="39"/>
      <c r="W758" s="39"/>
      <c r="AC758" s="39"/>
      <c r="AD758" s="39"/>
      <c r="AE758" s="39"/>
      <c r="AK758" s="39"/>
      <c r="AL758" s="39"/>
      <c r="AM758" s="39"/>
      <c r="AS758" s="39"/>
      <c r="AT758" s="39"/>
      <c r="AU758" s="39"/>
      <c r="AZ758" s="40"/>
      <c r="BA758" s="39"/>
      <c r="BB758" s="39"/>
      <c r="BC758" s="39"/>
      <c r="BI758" s="39"/>
      <c r="BJ758" s="39"/>
      <c r="BK758" s="39"/>
      <c r="BQ758" s="39"/>
      <c r="BR758" s="39"/>
      <c r="BS758" s="39"/>
      <c r="BY758" s="39"/>
      <c r="BZ758" s="39"/>
      <c r="CA758" s="39"/>
      <c r="CG758" s="39"/>
      <c r="CH758" s="39"/>
      <c r="CI758" s="39"/>
    </row>
    <row r="759" spans="2:87" ht="15.75" customHeight="1">
      <c r="B759" s="2"/>
      <c r="C759" s="10"/>
      <c r="F759" s="39"/>
      <c r="G759" s="39"/>
      <c r="H759" s="39"/>
      <c r="I759" s="39"/>
      <c r="M759" s="39"/>
      <c r="N759" s="39"/>
      <c r="O759" s="39"/>
      <c r="U759" s="39"/>
      <c r="V759" s="39"/>
      <c r="W759" s="39"/>
      <c r="AC759" s="39"/>
      <c r="AD759" s="39"/>
      <c r="AE759" s="39"/>
      <c r="AK759" s="39"/>
      <c r="AL759" s="39"/>
      <c r="AM759" s="39"/>
      <c r="AS759" s="39"/>
      <c r="AT759" s="39"/>
      <c r="AU759" s="39"/>
      <c r="AZ759" s="40"/>
      <c r="BA759" s="39"/>
      <c r="BB759" s="39"/>
      <c r="BC759" s="39"/>
      <c r="BI759" s="39"/>
      <c r="BJ759" s="39"/>
      <c r="BK759" s="39"/>
      <c r="BQ759" s="39"/>
      <c r="BR759" s="39"/>
      <c r="BS759" s="39"/>
      <c r="BY759" s="39"/>
      <c r="BZ759" s="39"/>
      <c r="CA759" s="39"/>
      <c r="CG759" s="39"/>
      <c r="CH759" s="39"/>
      <c r="CI759" s="39"/>
    </row>
    <row r="760" spans="2:87" ht="15.75" customHeight="1">
      <c r="B760" s="2"/>
      <c r="C760" s="10"/>
      <c r="F760" s="39"/>
      <c r="G760" s="39"/>
      <c r="H760" s="39"/>
      <c r="I760" s="39"/>
      <c r="M760" s="39"/>
      <c r="N760" s="39"/>
      <c r="O760" s="39"/>
      <c r="U760" s="39"/>
      <c r="V760" s="39"/>
      <c r="W760" s="39"/>
      <c r="AC760" s="39"/>
      <c r="AD760" s="39"/>
      <c r="AE760" s="39"/>
      <c r="AK760" s="39"/>
      <c r="AL760" s="39"/>
      <c r="AM760" s="39"/>
      <c r="AS760" s="39"/>
      <c r="AT760" s="39"/>
      <c r="AU760" s="39"/>
      <c r="AZ760" s="40"/>
      <c r="BA760" s="39"/>
      <c r="BB760" s="39"/>
      <c r="BC760" s="39"/>
      <c r="BI760" s="39"/>
      <c r="BJ760" s="39"/>
      <c r="BK760" s="39"/>
      <c r="BQ760" s="39"/>
      <c r="BR760" s="39"/>
      <c r="BS760" s="39"/>
      <c r="BY760" s="39"/>
      <c r="BZ760" s="39"/>
      <c r="CA760" s="39"/>
      <c r="CG760" s="39"/>
      <c r="CH760" s="39"/>
      <c r="CI760" s="39"/>
    </row>
    <row r="761" spans="2:87" ht="15.75" customHeight="1">
      <c r="B761" s="2"/>
      <c r="C761" s="10"/>
      <c r="F761" s="39"/>
      <c r="G761" s="39"/>
      <c r="H761" s="39"/>
      <c r="I761" s="39"/>
      <c r="M761" s="39"/>
      <c r="N761" s="39"/>
      <c r="O761" s="39"/>
      <c r="U761" s="39"/>
      <c r="V761" s="39"/>
      <c r="W761" s="39"/>
      <c r="AC761" s="39"/>
      <c r="AD761" s="39"/>
      <c r="AE761" s="39"/>
      <c r="AK761" s="39"/>
      <c r="AL761" s="39"/>
      <c r="AM761" s="39"/>
      <c r="AS761" s="39"/>
      <c r="AT761" s="39"/>
      <c r="AU761" s="39"/>
      <c r="AZ761" s="40"/>
      <c r="BA761" s="39"/>
      <c r="BB761" s="39"/>
      <c r="BC761" s="39"/>
      <c r="BI761" s="39"/>
      <c r="BJ761" s="39"/>
      <c r="BK761" s="39"/>
      <c r="BQ761" s="39"/>
      <c r="BR761" s="39"/>
      <c r="BS761" s="39"/>
      <c r="BY761" s="39"/>
      <c r="BZ761" s="39"/>
      <c r="CA761" s="39"/>
      <c r="CG761" s="39"/>
      <c r="CH761" s="39"/>
      <c r="CI761" s="39"/>
    </row>
    <row r="762" spans="2:87" ht="15.75" customHeight="1">
      <c r="B762" s="2"/>
      <c r="C762" s="10"/>
      <c r="F762" s="39"/>
      <c r="G762" s="39"/>
      <c r="H762" s="39"/>
      <c r="I762" s="39"/>
      <c r="M762" s="39"/>
      <c r="N762" s="39"/>
      <c r="O762" s="39"/>
      <c r="U762" s="39"/>
      <c r="V762" s="39"/>
      <c r="W762" s="39"/>
      <c r="AC762" s="39"/>
      <c r="AD762" s="39"/>
      <c r="AE762" s="39"/>
      <c r="AK762" s="39"/>
      <c r="AL762" s="39"/>
      <c r="AM762" s="39"/>
      <c r="AS762" s="39"/>
      <c r="AT762" s="39"/>
      <c r="AU762" s="39"/>
      <c r="AZ762" s="40"/>
      <c r="BA762" s="39"/>
      <c r="BB762" s="39"/>
      <c r="BC762" s="39"/>
      <c r="BI762" s="39"/>
      <c r="BJ762" s="39"/>
      <c r="BK762" s="39"/>
      <c r="BQ762" s="39"/>
      <c r="BR762" s="39"/>
      <c r="BS762" s="39"/>
      <c r="BY762" s="39"/>
      <c r="BZ762" s="39"/>
      <c r="CA762" s="39"/>
      <c r="CG762" s="39"/>
      <c r="CH762" s="39"/>
      <c r="CI762" s="39"/>
    </row>
    <row r="763" spans="2:87" ht="15.75" customHeight="1">
      <c r="B763" s="2"/>
      <c r="C763" s="10"/>
      <c r="F763" s="39"/>
      <c r="G763" s="39"/>
      <c r="H763" s="39"/>
      <c r="I763" s="39"/>
      <c r="M763" s="39"/>
      <c r="N763" s="39"/>
      <c r="O763" s="39"/>
      <c r="U763" s="39"/>
      <c r="V763" s="39"/>
      <c r="W763" s="39"/>
      <c r="AC763" s="39"/>
      <c r="AD763" s="39"/>
      <c r="AE763" s="39"/>
      <c r="AK763" s="39"/>
      <c r="AL763" s="39"/>
      <c r="AM763" s="39"/>
      <c r="AS763" s="39"/>
      <c r="AT763" s="39"/>
      <c r="AU763" s="39"/>
      <c r="AZ763" s="40"/>
      <c r="BA763" s="39"/>
      <c r="BB763" s="39"/>
      <c r="BC763" s="39"/>
      <c r="BI763" s="39"/>
      <c r="BJ763" s="39"/>
      <c r="BK763" s="39"/>
      <c r="BQ763" s="39"/>
      <c r="BR763" s="39"/>
      <c r="BS763" s="39"/>
      <c r="BY763" s="39"/>
      <c r="BZ763" s="39"/>
      <c r="CA763" s="39"/>
      <c r="CG763" s="39"/>
      <c r="CH763" s="39"/>
      <c r="CI763" s="39"/>
    </row>
    <row r="764" spans="2:87" ht="15.75" customHeight="1">
      <c r="B764" s="2"/>
      <c r="C764" s="10"/>
      <c r="F764" s="39"/>
      <c r="G764" s="39"/>
      <c r="H764" s="39"/>
      <c r="I764" s="39"/>
      <c r="M764" s="39"/>
      <c r="N764" s="39"/>
      <c r="O764" s="39"/>
      <c r="U764" s="39"/>
      <c r="V764" s="39"/>
      <c r="W764" s="39"/>
      <c r="AC764" s="39"/>
      <c r="AD764" s="39"/>
      <c r="AE764" s="39"/>
      <c r="AK764" s="39"/>
      <c r="AL764" s="39"/>
      <c r="AM764" s="39"/>
      <c r="AS764" s="39"/>
      <c r="AT764" s="39"/>
      <c r="AU764" s="39"/>
      <c r="AZ764" s="40"/>
      <c r="BA764" s="39"/>
      <c r="BB764" s="39"/>
      <c r="BC764" s="39"/>
      <c r="BI764" s="39"/>
      <c r="BJ764" s="39"/>
      <c r="BK764" s="39"/>
      <c r="BQ764" s="39"/>
      <c r="BR764" s="39"/>
      <c r="BS764" s="39"/>
      <c r="BY764" s="39"/>
      <c r="BZ764" s="39"/>
      <c r="CA764" s="39"/>
      <c r="CG764" s="39"/>
      <c r="CH764" s="39"/>
      <c r="CI764" s="39"/>
    </row>
    <row r="765" spans="2:87" ht="15.75" customHeight="1">
      <c r="B765" s="2"/>
      <c r="C765" s="10"/>
      <c r="F765" s="39"/>
      <c r="G765" s="39"/>
      <c r="H765" s="39"/>
      <c r="I765" s="39"/>
      <c r="M765" s="39"/>
      <c r="N765" s="39"/>
      <c r="O765" s="39"/>
      <c r="U765" s="39"/>
      <c r="V765" s="39"/>
      <c r="W765" s="39"/>
      <c r="AC765" s="39"/>
      <c r="AD765" s="39"/>
      <c r="AE765" s="39"/>
      <c r="AK765" s="39"/>
      <c r="AL765" s="39"/>
      <c r="AM765" s="39"/>
      <c r="AS765" s="39"/>
      <c r="AT765" s="39"/>
      <c r="AU765" s="39"/>
      <c r="AZ765" s="40"/>
      <c r="BA765" s="39"/>
      <c r="BB765" s="39"/>
      <c r="BC765" s="39"/>
      <c r="BI765" s="39"/>
      <c r="BJ765" s="39"/>
      <c r="BK765" s="39"/>
      <c r="BQ765" s="39"/>
      <c r="BR765" s="39"/>
      <c r="BS765" s="39"/>
      <c r="BY765" s="39"/>
      <c r="BZ765" s="39"/>
      <c r="CA765" s="39"/>
      <c r="CG765" s="39"/>
      <c r="CH765" s="39"/>
      <c r="CI765" s="39"/>
    </row>
    <row r="766" spans="2:87" ht="15.75" customHeight="1">
      <c r="B766" s="2"/>
      <c r="C766" s="10"/>
      <c r="F766" s="39"/>
      <c r="G766" s="39"/>
      <c r="H766" s="39"/>
      <c r="I766" s="39"/>
      <c r="M766" s="39"/>
      <c r="N766" s="39"/>
      <c r="O766" s="39"/>
      <c r="U766" s="39"/>
      <c r="V766" s="39"/>
      <c r="W766" s="39"/>
      <c r="AC766" s="39"/>
      <c r="AD766" s="39"/>
      <c r="AE766" s="39"/>
      <c r="AK766" s="39"/>
      <c r="AL766" s="39"/>
      <c r="AM766" s="39"/>
      <c r="AS766" s="39"/>
      <c r="AT766" s="39"/>
      <c r="AU766" s="39"/>
      <c r="AZ766" s="40"/>
      <c r="BA766" s="39"/>
      <c r="BB766" s="39"/>
      <c r="BC766" s="39"/>
      <c r="BI766" s="39"/>
      <c r="BJ766" s="39"/>
      <c r="BK766" s="39"/>
      <c r="BQ766" s="39"/>
      <c r="BR766" s="39"/>
      <c r="BS766" s="39"/>
      <c r="BY766" s="39"/>
      <c r="BZ766" s="39"/>
      <c r="CA766" s="39"/>
      <c r="CG766" s="39"/>
      <c r="CH766" s="39"/>
      <c r="CI766" s="39"/>
    </row>
    <row r="767" spans="2:87" ht="15.75" customHeight="1">
      <c r="B767" s="2"/>
      <c r="C767" s="10"/>
      <c r="F767" s="39"/>
      <c r="G767" s="39"/>
      <c r="H767" s="39"/>
      <c r="I767" s="39"/>
      <c r="M767" s="39"/>
      <c r="N767" s="39"/>
      <c r="O767" s="39"/>
      <c r="U767" s="39"/>
      <c r="V767" s="39"/>
      <c r="W767" s="39"/>
      <c r="AC767" s="39"/>
      <c r="AD767" s="39"/>
      <c r="AE767" s="39"/>
      <c r="AK767" s="39"/>
      <c r="AL767" s="39"/>
      <c r="AM767" s="39"/>
      <c r="AS767" s="39"/>
      <c r="AT767" s="39"/>
      <c r="AU767" s="39"/>
      <c r="AZ767" s="40"/>
      <c r="BA767" s="39"/>
      <c r="BB767" s="39"/>
      <c r="BC767" s="39"/>
      <c r="BI767" s="39"/>
      <c r="BJ767" s="39"/>
      <c r="BK767" s="39"/>
      <c r="BQ767" s="39"/>
      <c r="BR767" s="39"/>
      <c r="BS767" s="39"/>
      <c r="BY767" s="39"/>
      <c r="BZ767" s="39"/>
      <c r="CA767" s="39"/>
      <c r="CG767" s="39"/>
      <c r="CH767" s="39"/>
      <c r="CI767" s="39"/>
    </row>
    <row r="768" spans="2:87" ht="15.75" customHeight="1">
      <c r="B768" s="2"/>
      <c r="C768" s="10"/>
      <c r="F768" s="39"/>
      <c r="G768" s="39"/>
      <c r="H768" s="39"/>
      <c r="I768" s="39"/>
      <c r="M768" s="39"/>
      <c r="N768" s="39"/>
      <c r="O768" s="39"/>
      <c r="U768" s="39"/>
      <c r="V768" s="39"/>
      <c r="W768" s="39"/>
      <c r="AC768" s="39"/>
      <c r="AD768" s="39"/>
      <c r="AE768" s="39"/>
      <c r="AK768" s="39"/>
      <c r="AL768" s="39"/>
      <c r="AM768" s="39"/>
      <c r="AS768" s="39"/>
      <c r="AT768" s="39"/>
      <c r="AU768" s="39"/>
      <c r="AZ768" s="40"/>
      <c r="BA768" s="39"/>
      <c r="BB768" s="39"/>
      <c r="BC768" s="39"/>
      <c r="BI768" s="39"/>
      <c r="BJ768" s="39"/>
      <c r="BK768" s="39"/>
      <c r="BQ768" s="39"/>
      <c r="BR768" s="39"/>
      <c r="BS768" s="39"/>
      <c r="BY768" s="39"/>
      <c r="BZ768" s="39"/>
      <c r="CA768" s="39"/>
      <c r="CG768" s="39"/>
      <c r="CH768" s="39"/>
      <c r="CI768" s="39"/>
    </row>
    <row r="769" spans="2:87" ht="15.75" customHeight="1">
      <c r="B769" s="2"/>
      <c r="C769" s="10"/>
      <c r="F769" s="39"/>
      <c r="G769" s="39"/>
      <c r="H769" s="39"/>
      <c r="I769" s="39"/>
      <c r="M769" s="39"/>
      <c r="N769" s="39"/>
      <c r="O769" s="39"/>
      <c r="U769" s="39"/>
      <c r="V769" s="39"/>
      <c r="W769" s="39"/>
      <c r="AC769" s="39"/>
      <c r="AD769" s="39"/>
      <c r="AE769" s="39"/>
      <c r="AK769" s="39"/>
      <c r="AL769" s="39"/>
      <c r="AM769" s="39"/>
      <c r="AS769" s="39"/>
      <c r="AT769" s="39"/>
      <c r="AU769" s="39"/>
      <c r="AZ769" s="40"/>
      <c r="BA769" s="39"/>
      <c r="BB769" s="39"/>
      <c r="BC769" s="39"/>
      <c r="BI769" s="39"/>
      <c r="BJ769" s="39"/>
      <c r="BK769" s="39"/>
      <c r="BQ769" s="39"/>
      <c r="BR769" s="39"/>
      <c r="BS769" s="39"/>
      <c r="BY769" s="39"/>
      <c r="BZ769" s="39"/>
      <c r="CA769" s="39"/>
      <c r="CG769" s="39"/>
      <c r="CH769" s="39"/>
      <c r="CI769" s="39"/>
    </row>
    <row r="770" spans="2:87" ht="15.75" customHeight="1">
      <c r="B770" s="2"/>
      <c r="C770" s="10"/>
      <c r="F770" s="39"/>
      <c r="G770" s="39"/>
      <c r="H770" s="39"/>
      <c r="I770" s="39"/>
      <c r="M770" s="39"/>
      <c r="N770" s="39"/>
      <c r="O770" s="39"/>
      <c r="U770" s="39"/>
      <c r="V770" s="39"/>
      <c r="W770" s="39"/>
      <c r="AC770" s="39"/>
      <c r="AD770" s="39"/>
      <c r="AE770" s="39"/>
      <c r="AK770" s="39"/>
      <c r="AL770" s="39"/>
      <c r="AM770" s="39"/>
      <c r="AS770" s="39"/>
      <c r="AT770" s="39"/>
      <c r="AU770" s="39"/>
      <c r="AZ770" s="40"/>
      <c r="BA770" s="39"/>
      <c r="BB770" s="39"/>
      <c r="BC770" s="39"/>
      <c r="BI770" s="39"/>
      <c r="BJ770" s="39"/>
      <c r="BK770" s="39"/>
      <c r="BQ770" s="39"/>
      <c r="BR770" s="39"/>
      <c r="BS770" s="39"/>
      <c r="BY770" s="39"/>
      <c r="BZ770" s="39"/>
      <c r="CA770" s="39"/>
      <c r="CG770" s="39"/>
      <c r="CH770" s="39"/>
      <c r="CI770" s="39"/>
    </row>
    <row r="771" spans="2:87" ht="15.75" customHeight="1">
      <c r="B771" s="2"/>
      <c r="C771" s="10"/>
      <c r="F771" s="39"/>
      <c r="G771" s="39"/>
      <c r="H771" s="39"/>
      <c r="I771" s="39"/>
      <c r="M771" s="39"/>
      <c r="N771" s="39"/>
      <c r="O771" s="39"/>
      <c r="U771" s="39"/>
      <c r="V771" s="39"/>
      <c r="W771" s="39"/>
      <c r="AC771" s="39"/>
      <c r="AD771" s="39"/>
      <c r="AE771" s="39"/>
      <c r="AK771" s="39"/>
      <c r="AL771" s="39"/>
      <c r="AM771" s="39"/>
      <c r="AS771" s="39"/>
      <c r="AT771" s="39"/>
      <c r="AU771" s="39"/>
      <c r="AZ771" s="40"/>
      <c r="BA771" s="39"/>
      <c r="BB771" s="39"/>
      <c r="BC771" s="39"/>
      <c r="BI771" s="39"/>
      <c r="BJ771" s="39"/>
      <c r="BK771" s="39"/>
      <c r="BQ771" s="39"/>
      <c r="BR771" s="39"/>
      <c r="BS771" s="39"/>
      <c r="BY771" s="39"/>
      <c r="BZ771" s="39"/>
      <c r="CA771" s="39"/>
      <c r="CG771" s="39"/>
      <c r="CH771" s="39"/>
      <c r="CI771" s="39"/>
    </row>
    <row r="772" spans="2:87" ht="15.75" customHeight="1">
      <c r="B772" s="2"/>
      <c r="C772" s="10"/>
      <c r="F772" s="39"/>
      <c r="G772" s="39"/>
      <c r="H772" s="39"/>
      <c r="I772" s="39"/>
      <c r="M772" s="39"/>
      <c r="N772" s="39"/>
      <c r="O772" s="39"/>
      <c r="U772" s="39"/>
      <c r="V772" s="39"/>
      <c r="W772" s="39"/>
      <c r="AC772" s="39"/>
      <c r="AD772" s="39"/>
      <c r="AE772" s="39"/>
      <c r="AK772" s="39"/>
      <c r="AL772" s="39"/>
      <c r="AM772" s="39"/>
      <c r="AS772" s="39"/>
      <c r="AT772" s="39"/>
      <c r="AU772" s="39"/>
      <c r="AZ772" s="40"/>
      <c r="BA772" s="39"/>
      <c r="BB772" s="39"/>
      <c r="BC772" s="39"/>
      <c r="BI772" s="39"/>
      <c r="BJ772" s="39"/>
      <c r="BK772" s="39"/>
      <c r="BQ772" s="39"/>
      <c r="BR772" s="39"/>
      <c r="BS772" s="39"/>
      <c r="BY772" s="39"/>
      <c r="BZ772" s="39"/>
      <c r="CA772" s="39"/>
      <c r="CG772" s="39"/>
      <c r="CH772" s="39"/>
      <c r="CI772" s="39"/>
    </row>
    <row r="773" spans="2:87" ht="15.75" customHeight="1">
      <c r="B773" s="2"/>
      <c r="C773" s="10"/>
      <c r="F773" s="39"/>
      <c r="G773" s="39"/>
      <c r="H773" s="39"/>
      <c r="I773" s="39"/>
      <c r="M773" s="39"/>
      <c r="N773" s="39"/>
      <c r="O773" s="39"/>
      <c r="U773" s="39"/>
      <c r="V773" s="39"/>
      <c r="W773" s="39"/>
      <c r="AC773" s="39"/>
      <c r="AD773" s="39"/>
      <c r="AE773" s="39"/>
      <c r="AK773" s="39"/>
      <c r="AL773" s="39"/>
      <c r="AM773" s="39"/>
      <c r="AS773" s="39"/>
      <c r="AT773" s="39"/>
      <c r="AU773" s="39"/>
      <c r="AZ773" s="40"/>
      <c r="BA773" s="39"/>
      <c r="BB773" s="39"/>
      <c r="BC773" s="39"/>
      <c r="BI773" s="39"/>
      <c r="BJ773" s="39"/>
      <c r="BK773" s="39"/>
      <c r="BQ773" s="39"/>
      <c r="BR773" s="39"/>
      <c r="BS773" s="39"/>
      <c r="BY773" s="39"/>
      <c r="BZ773" s="39"/>
      <c r="CA773" s="39"/>
      <c r="CG773" s="39"/>
      <c r="CH773" s="39"/>
      <c r="CI773" s="39"/>
    </row>
    <row r="774" spans="2:87" ht="15.75" customHeight="1">
      <c r="B774" s="2"/>
      <c r="C774" s="10"/>
      <c r="F774" s="39"/>
      <c r="G774" s="39"/>
      <c r="H774" s="39"/>
      <c r="I774" s="39"/>
      <c r="M774" s="39"/>
      <c r="N774" s="39"/>
      <c r="O774" s="39"/>
      <c r="U774" s="39"/>
      <c r="V774" s="39"/>
      <c r="W774" s="39"/>
      <c r="AC774" s="39"/>
      <c r="AD774" s="39"/>
      <c r="AE774" s="39"/>
      <c r="AK774" s="39"/>
      <c r="AL774" s="39"/>
      <c r="AM774" s="39"/>
      <c r="AS774" s="39"/>
      <c r="AT774" s="39"/>
      <c r="AU774" s="39"/>
      <c r="AZ774" s="40"/>
      <c r="BA774" s="39"/>
      <c r="BB774" s="39"/>
      <c r="BC774" s="39"/>
      <c r="BI774" s="39"/>
      <c r="BJ774" s="39"/>
      <c r="BK774" s="39"/>
      <c r="BQ774" s="39"/>
      <c r="BR774" s="39"/>
      <c r="BS774" s="39"/>
      <c r="BY774" s="39"/>
      <c r="BZ774" s="39"/>
      <c r="CA774" s="39"/>
      <c r="CG774" s="39"/>
      <c r="CH774" s="39"/>
      <c r="CI774" s="39"/>
    </row>
    <row r="775" spans="2:87" ht="15.75" customHeight="1">
      <c r="B775" s="2"/>
      <c r="C775" s="10"/>
      <c r="F775" s="39"/>
      <c r="G775" s="39"/>
      <c r="H775" s="39"/>
      <c r="I775" s="39"/>
      <c r="M775" s="39"/>
      <c r="N775" s="39"/>
      <c r="O775" s="39"/>
      <c r="U775" s="39"/>
      <c r="V775" s="39"/>
      <c r="W775" s="39"/>
      <c r="AC775" s="39"/>
      <c r="AD775" s="39"/>
      <c r="AE775" s="39"/>
      <c r="AK775" s="39"/>
      <c r="AL775" s="39"/>
      <c r="AM775" s="39"/>
      <c r="AS775" s="39"/>
      <c r="AT775" s="39"/>
      <c r="AU775" s="39"/>
      <c r="AZ775" s="40"/>
      <c r="BA775" s="39"/>
      <c r="BB775" s="39"/>
      <c r="BC775" s="39"/>
      <c r="BI775" s="39"/>
      <c r="BJ775" s="39"/>
      <c r="BK775" s="39"/>
      <c r="BQ775" s="39"/>
      <c r="BR775" s="39"/>
      <c r="BS775" s="39"/>
      <c r="BY775" s="39"/>
      <c r="BZ775" s="39"/>
      <c r="CA775" s="39"/>
      <c r="CG775" s="39"/>
      <c r="CH775" s="39"/>
      <c r="CI775" s="39"/>
    </row>
    <row r="776" spans="2:87" ht="15.75" customHeight="1">
      <c r="B776" s="2"/>
      <c r="C776" s="10"/>
      <c r="F776" s="39"/>
      <c r="G776" s="39"/>
      <c r="H776" s="39"/>
      <c r="I776" s="39"/>
      <c r="M776" s="39"/>
      <c r="N776" s="39"/>
      <c r="O776" s="39"/>
      <c r="U776" s="39"/>
      <c r="V776" s="39"/>
      <c r="W776" s="39"/>
      <c r="AC776" s="39"/>
      <c r="AD776" s="39"/>
      <c r="AE776" s="39"/>
      <c r="AK776" s="39"/>
      <c r="AL776" s="39"/>
      <c r="AM776" s="39"/>
      <c r="AS776" s="39"/>
      <c r="AT776" s="39"/>
      <c r="AU776" s="39"/>
      <c r="AZ776" s="40"/>
      <c r="BA776" s="39"/>
      <c r="BB776" s="39"/>
      <c r="BC776" s="39"/>
      <c r="BI776" s="39"/>
      <c r="BJ776" s="39"/>
      <c r="BK776" s="39"/>
      <c r="BQ776" s="39"/>
      <c r="BR776" s="39"/>
      <c r="BS776" s="39"/>
      <c r="BY776" s="39"/>
      <c r="BZ776" s="39"/>
      <c r="CA776" s="39"/>
      <c r="CG776" s="39"/>
      <c r="CH776" s="39"/>
      <c r="CI776" s="39"/>
    </row>
    <row r="777" spans="2:87" ht="15.75" customHeight="1">
      <c r="B777" s="2"/>
      <c r="C777" s="10"/>
      <c r="F777" s="39"/>
      <c r="G777" s="39"/>
      <c r="H777" s="39"/>
      <c r="I777" s="39"/>
      <c r="M777" s="39"/>
      <c r="N777" s="39"/>
      <c r="O777" s="39"/>
      <c r="U777" s="39"/>
      <c r="V777" s="39"/>
      <c r="W777" s="39"/>
      <c r="AC777" s="39"/>
      <c r="AD777" s="39"/>
      <c r="AE777" s="39"/>
      <c r="AK777" s="39"/>
      <c r="AL777" s="39"/>
      <c r="AM777" s="39"/>
      <c r="AS777" s="39"/>
      <c r="AT777" s="39"/>
      <c r="AU777" s="39"/>
      <c r="AZ777" s="40"/>
      <c r="BA777" s="39"/>
      <c r="BB777" s="39"/>
      <c r="BC777" s="39"/>
      <c r="BI777" s="39"/>
      <c r="BJ777" s="39"/>
      <c r="BK777" s="39"/>
      <c r="BQ777" s="39"/>
      <c r="BR777" s="39"/>
      <c r="BS777" s="39"/>
      <c r="BY777" s="39"/>
      <c r="BZ777" s="39"/>
      <c r="CA777" s="39"/>
      <c r="CG777" s="39"/>
      <c r="CH777" s="39"/>
      <c r="CI777" s="39"/>
    </row>
    <row r="778" spans="2:87" ht="15.75" customHeight="1">
      <c r="B778" s="2"/>
      <c r="C778" s="10"/>
      <c r="F778" s="39"/>
      <c r="G778" s="39"/>
      <c r="H778" s="39"/>
      <c r="I778" s="39"/>
      <c r="M778" s="39"/>
      <c r="N778" s="39"/>
      <c r="O778" s="39"/>
      <c r="U778" s="39"/>
      <c r="V778" s="39"/>
      <c r="W778" s="39"/>
      <c r="AC778" s="39"/>
      <c r="AD778" s="39"/>
      <c r="AE778" s="39"/>
      <c r="AK778" s="39"/>
      <c r="AL778" s="39"/>
      <c r="AM778" s="39"/>
      <c r="AS778" s="39"/>
      <c r="AT778" s="39"/>
      <c r="AU778" s="39"/>
      <c r="AZ778" s="40"/>
      <c r="BA778" s="39"/>
      <c r="BB778" s="39"/>
      <c r="BC778" s="39"/>
      <c r="BI778" s="39"/>
      <c r="BJ778" s="39"/>
      <c r="BK778" s="39"/>
      <c r="BQ778" s="39"/>
      <c r="BR778" s="39"/>
      <c r="BS778" s="39"/>
      <c r="BY778" s="39"/>
      <c r="BZ778" s="39"/>
      <c r="CA778" s="39"/>
      <c r="CG778" s="39"/>
      <c r="CH778" s="39"/>
      <c r="CI778" s="39"/>
    </row>
    <row r="779" spans="2:87" ht="15.75" customHeight="1">
      <c r="B779" s="2"/>
      <c r="C779" s="10"/>
      <c r="F779" s="39"/>
      <c r="G779" s="39"/>
      <c r="H779" s="39"/>
      <c r="I779" s="39"/>
      <c r="M779" s="39"/>
      <c r="N779" s="39"/>
      <c r="O779" s="39"/>
      <c r="U779" s="39"/>
      <c r="V779" s="39"/>
      <c r="W779" s="39"/>
      <c r="AC779" s="39"/>
      <c r="AD779" s="39"/>
      <c r="AE779" s="39"/>
      <c r="AK779" s="39"/>
      <c r="AL779" s="39"/>
      <c r="AM779" s="39"/>
      <c r="AS779" s="39"/>
      <c r="AT779" s="39"/>
      <c r="AU779" s="39"/>
      <c r="AZ779" s="40"/>
      <c r="BA779" s="39"/>
      <c r="BB779" s="39"/>
      <c r="BC779" s="39"/>
      <c r="BI779" s="39"/>
      <c r="BJ779" s="39"/>
      <c r="BK779" s="39"/>
      <c r="BQ779" s="39"/>
      <c r="BR779" s="39"/>
      <c r="BS779" s="39"/>
      <c r="BY779" s="39"/>
      <c r="BZ779" s="39"/>
      <c r="CA779" s="39"/>
      <c r="CG779" s="39"/>
      <c r="CH779" s="39"/>
      <c r="CI779" s="39"/>
    </row>
    <row r="780" spans="2:87" ht="15.75" customHeight="1">
      <c r="B780" s="2"/>
      <c r="C780" s="10"/>
      <c r="F780" s="39"/>
      <c r="G780" s="39"/>
      <c r="H780" s="39"/>
      <c r="I780" s="39"/>
      <c r="M780" s="39"/>
      <c r="N780" s="39"/>
      <c r="O780" s="39"/>
      <c r="U780" s="39"/>
      <c r="V780" s="39"/>
      <c r="W780" s="39"/>
      <c r="AC780" s="39"/>
      <c r="AD780" s="39"/>
      <c r="AE780" s="39"/>
      <c r="AK780" s="39"/>
      <c r="AL780" s="39"/>
      <c r="AM780" s="39"/>
      <c r="AS780" s="39"/>
      <c r="AT780" s="39"/>
      <c r="AU780" s="39"/>
      <c r="AZ780" s="40"/>
      <c r="BA780" s="39"/>
      <c r="BB780" s="39"/>
      <c r="BC780" s="39"/>
      <c r="BI780" s="39"/>
      <c r="BJ780" s="39"/>
      <c r="BK780" s="39"/>
      <c r="BQ780" s="39"/>
      <c r="BR780" s="39"/>
      <c r="BS780" s="39"/>
      <c r="BY780" s="39"/>
      <c r="BZ780" s="39"/>
      <c r="CA780" s="39"/>
      <c r="CG780" s="39"/>
      <c r="CH780" s="39"/>
      <c r="CI780" s="39"/>
    </row>
    <row r="781" spans="2:87" ht="15.75" customHeight="1">
      <c r="B781" s="2"/>
      <c r="C781" s="10"/>
      <c r="F781" s="39"/>
      <c r="G781" s="39"/>
      <c r="H781" s="39"/>
      <c r="I781" s="39"/>
      <c r="M781" s="39"/>
      <c r="N781" s="39"/>
      <c r="O781" s="39"/>
      <c r="U781" s="39"/>
      <c r="V781" s="39"/>
      <c r="W781" s="39"/>
      <c r="AC781" s="39"/>
      <c r="AD781" s="39"/>
      <c r="AE781" s="39"/>
      <c r="AK781" s="39"/>
      <c r="AL781" s="39"/>
      <c r="AM781" s="39"/>
      <c r="AS781" s="39"/>
      <c r="AT781" s="39"/>
      <c r="AU781" s="39"/>
      <c r="AZ781" s="40"/>
      <c r="BA781" s="39"/>
      <c r="BB781" s="39"/>
      <c r="BC781" s="39"/>
      <c r="BI781" s="39"/>
      <c r="BJ781" s="39"/>
      <c r="BK781" s="39"/>
      <c r="BQ781" s="39"/>
      <c r="BR781" s="39"/>
      <c r="BS781" s="39"/>
      <c r="BY781" s="39"/>
      <c r="BZ781" s="39"/>
      <c r="CA781" s="39"/>
      <c r="CG781" s="39"/>
      <c r="CH781" s="39"/>
      <c r="CI781" s="39"/>
    </row>
    <row r="782" spans="2:87" ht="15.75" customHeight="1">
      <c r="B782" s="2"/>
      <c r="C782" s="10"/>
      <c r="F782" s="39"/>
      <c r="G782" s="39"/>
      <c r="H782" s="39"/>
      <c r="I782" s="39"/>
      <c r="M782" s="39"/>
      <c r="N782" s="39"/>
      <c r="O782" s="39"/>
      <c r="U782" s="39"/>
      <c r="V782" s="39"/>
      <c r="W782" s="39"/>
      <c r="AC782" s="39"/>
      <c r="AD782" s="39"/>
      <c r="AE782" s="39"/>
      <c r="AK782" s="39"/>
      <c r="AL782" s="39"/>
      <c r="AM782" s="39"/>
      <c r="AS782" s="39"/>
      <c r="AT782" s="39"/>
      <c r="AU782" s="39"/>
      <c r="AZ782" s="40"/>
      <c r="BA782" s="39"/>
      <c r="BB782" s="39"/>
      <c r="BC782" s="39"/>
      <c r="BI782" s="39"/>
      <c r="BJ782" s="39"/>
      <c r="BK782" s="39"/>
      <c r="BQ782" s="39"/>
      <c r="BR782" s="39"/>
      <c r="BS782" s="39"/>
      <c r="BY782" s="39"/>
      <c r="BZ782" s="39"/>
      <c r="CA782" s="39"/>
      <c r="CG782" s="39"/>
      <c r="CH782" s="39"/>
      <c r="CI782" s="39"/>
    </row>
    <row r="783" spans="2:87" ht="15.75" customHeight="1">
      <c r="B783" s="2"/>
      <c r="C783" s="10"/>
      <c r="F783" s="39"/>
      <c r="G783" s="39"/>
      <c r="H783" s="39"/>
      <c r="I783" s="39"/>
      <c r="M783" s="39"/>
      <c r="N783" s="39"/>
      <c r="O783" s="39"/>
      <c r="U783" s="39"/>
      <c r="V783" s="39"/>
      <c r="W783" s="39"/>
      <c r="AC783" s="39"/>
      <c r="AD783" s="39"/>
      <c r="AE783" s="39"/>
      <c r="AK783" s="39"/>
      <c r="AL783" s="39"/>
      <c r="AM783" s="39"/>
      <c r="AS783" s="39"/>
      <c r="AT783" s="39"/>
      <c r="AU783" s="39"/>
      <c r="AZ783" s="40"/>
      <c r="BA783" s="39"/>
      <c r="BB783" s="39"/>
      <c r="BC783" s="39"/>
      <c r="BI783" s="39"/>
      <c r="BJ783" s="39"/>
      <c r="BK783" s="39"/>
      <c r="BQ783" s="39"/>
      <c r="BR783" s="39"/>
      <c r="BS783" s="39"/>
      <c r="BY783" s="39"/>
      <c r="BZ783" s="39"/>
      <c r="CA783" s="39"/>
      <c r="CG783" s="39"/>
      <c r="CH783" s="39"/>
      <c r="CI783" s="39"/>
    </row>
    <row r="784" spans="2:87" ht="15.75" customHeight="1">
      <c r="B784" s="2"/>
      <c r="C784" s="10"/>
      <c r="F784" s="39"/>
      <c r="G784" s="39"/>
      <c r="H784" s="39"/>
      <c r="I784" s="39"/>
      <c r="M784" s="39"/>
      <c r="N784" s="39"/>
      <c r="O784" s="39"/>
      <c r="U784" s="39"/>
      <c r="V784" s="39"/>
      <c r="W784" s="39"/>
      <c r="AC784" s="39"/>
      <c r="AD784" s="39"/>
      <c r="AE784" s="39"/>
      <c r="AK784" s="39"/>
      <c r="AL784" s="39"/>
      <c r="AM784" s="39"/>
      <c r="AS784" s="39"/>
      <c r="AT784" s="39"/>
      <c r="AU784" s="39"/>
      <c r="AZ784" s="40"/>
      <c r="BA784" s="39"/>
      <c r="BB784" s="39"/>
      <c r="BC784" s="39"/>
      <c r="BI784" s="39"/>
      <c r="BJ784" s="39"/>
      <c r="BK784" s="39"/>
      <c r="BQ784" s="39"/>
      <c r="BR784" s="39"/>
      <c r="BS784" s="39"/>
      <c r="BY784" s="39"/>
      <c r="BZ784" s="39"/>
      <c r="CA784" s="39"/>
      <c r="CG784" s="39"/>
      <c r="CH784" s="39"/>
      <c r="CI784" s="39"/>
    </row>
    <row r="785" spans="2:87" ht="15.75" customHeight="1">
      <c r="B785" s="2"/>
      <c r="C785" s="10"/>
      <c r="F785" s="39"/>
      <c r="G785" s="39"/>
      <c r="H785" s="39"/>
      <c r="I785" s="39"/>
      <c r="M785" s="39"/>
      <c r="N785" s="39"/>
      <c r="O785" s="39"/>
      <c r="U785" s="39"/>
      <c r="V785" s="39"/>
      <c r="W785" s="39"/>
      <c r="AC785" s="39"/>
      <c r="AD785" s="39"/>
      <c r="AE785" s="39"/>
      <c r="AK785" s="39"/>
      <c r="AL785" s="39"/>
      <c r="AM785" s="39"/>
      <c r="AS785" s="39"/>
      <c r="AT785" s="39"/>
      <c r="AU785" s="39"/>
      <c r="AZ785" s="40"/>
      <c r="BA785" s="39"/>
      <c r="BB785" s="39"/>
      <c r="BC785" s="39"/>
      <c r="BI785" s="39"/>
      <c r="BJ785" s="39"/>
      <c r="BK785" s="39"/>
      <c r="BQ785" s="39"/>
      <c r="BR785" s="39"/>
      <c r="BS785" s="39"/>
      <c r="BY785" s="39"/>
      <c r="BZ785" s="39"/>
      <c r="CA785" s="39"/>
      <c r="CG785" s="39"/>
      <c r="CH785" s="39"/>
      <c r="CI785" s="39"/>
    </row>
    <row r="786" spans="2:87" ht="15.75" customHeight="1">
      <c r="B786" s="2"/>
      <c r="C786" s="10"/>
      <c r="F786" s="39"/>
      <c r="G786" s="39"/>
      <c r="H786" s="39"/>
      <c r="I786" s="39"/>
      <c r="M786" s="39"/>
      <c r="N786" s="39"/>
      <c r="O786" s="39"/>
      <c r="U786" s="39"/>
      <c r="V786" s="39"/>
      <c r="W786" s="39"/>
      <c r="AC786" s="39"/>
      <c r="AD786" s="39"/>
      <c r="AE786" s="39"/>
      <c r="AK786" s="39"/>
      <c r="AL786" s="39"/>
      <c r="AM786" s="39"/>
      <c r="AS786" s="39"/>
      <c r="AT786" s="39"/>
      <c r="AU786" s="39"/>
      <c r="AZ786" s="40"/>
      <c r="BA786" s="39"/>
      <c r="BB786" s="39"/>
      <c r="BC786" s="39"/>
      <c r="BI786" s="39"/>
      <c r="BJ786" s="39"/>
      <c r="BK786" s="39"/>
      <c r="BQ786" s="39"/>
      <c r="BR786" s="39"/>
      <c r="BS786" s="39"/>
      <c r="BY786" s="39"/>
      <c r="BZ786" s="39"/>
      <c r="CA786" s="39"/>
      <c r="CG786" s="39"/>
      <c r="CH786" s="39"/>
      <c r="CI786" s="39"/>
    </row>
    <row r="787" spans="2:87" ht="15.75" customHeight="1">
      <c r="B787" s="2"/>
      <c r="C787" s="10"/>
      <c r="F787" s="39"/>
      <c r="G787" s="39"/>
      <c r="H787" s="39"/>
      <c r="I787" s="39"/>
      <c r="M787" s="39"/>
      <c r="N787" s="39"/>
      <c r="O787" s="39"/>
      <c r="U787" s="39"/>
      <c r="V787" s="39"/>
      <c r="W787" s="39"/>
      <c r="AC787" s="39"/>
      <c r="AD787" s="39"/>
      <c r="AE787" s="39"/>
      <c r="AK787" s="39"/>
      <c r="AL787" s="39"/>
      <c r="AM787" s="39"/>
      <c r="AS787" s="39"/>
      <c r="AT787" s="39"/>
      <c r="AU787" s="39"/>
      <c r="AZ787" s="40"/>
      <c r="BA787" s="39"/>
      <c r="BB787" s="39"/>
      <c r="BC787" s="39"/>
      <c r="BI787" s="39"/>
      <c r="BJ787" s="39"/>
      <c r="BK787" s="39"/>
      <c r="BQ787" s="39"/>
      <c r="BR787" s="39"/>
      <c r="BS787" s="39"/>
      <c r="BY787" s="39"/>
      <c r="BZ787" s="39"/>
      <c r="CA787" s="39"/>
      <c r="CG787" s="39"/>
      <c r="CH787" s="39"/>
      <c r="CI787" s="39"/>
    </row>
    <row r="788" spans="2:87" ht="15.75" customHeight="1">
      <c r="B788" s="2"/>
      <c r="C788" s="10"/>
      <c r="F788" s="39"/>
      <c r="G788" s="39"/>
      <c r="H788" s="39"/>
      <c r="I788" s="39"/>
      <c r="M788" s="39"/>
      <c r="N788" s="39"/>
      <c r="O788" s="39"/>
      <c r="U788" s="39"/>
      <c r="V788" s="39"/>
      <c r="W788" s="39"/>
      <c r="AC788" s="39"/>
      <c r="AD788" s="39"/>
      <c r="AE788" s="39"/>
      <c r="AK788" s="39"/>
      <c r="AL788" s="39"/>
      <c r="AM788" s="39"/>
      <c r="AS788" s="39"/>
      <c r="AT788" s="39"/>
      <c r="AU788" s="39"/>
      <c r="AZ788" s="40"/>
      <c r="BA788" s="39"/>
      <c r="BB788" s="39"/>
      <c r="BC788" s="39"/>
      <c r="BI788" s="39"/>
      <c r="BJ788" s="39"/>
      <c r="BK788" s="39"/>
      <c r="BQ788" s="39"/>
      <c r="BR788" s="39"/>
      <c r="BS788" s="39"/>
      <c r="BY788" s="39"/>
      <c r="BZ788" s="39"/>
      <c r="CA788" s="39"/>
      <c r="CG788" s="39"/>
      <c r="CH788" s="39"/>
      <c r="CI788" s="39"/>
    </row>
    <row r="789" spans="2:87" ht="15.75" customHeight="1">
      <c r="B789" s="2"/>
      <c r="C789" s="10"/>
      <c r="F789" s="39"/>
      <c r="G789" s="39"/>
      <c r="H789" s="39"/>
      <c r="I789" s="39"/>
      <c r="M789" s="39"/>
      <c r="N789" s="39"/>
      <c r="O789" s="39"/>
      <c r="U789" s="39"/>
      <c r="V789" s="39"/>
      <c r="W789" s="39"/>
      <c r="AC789" s="39"/>
      <c r="AD789" s="39"/>
      <c r="AE789" s="39"/>
      <c r="AK789" s="39"/>
      <c r="AL789" s="39"/>
      <c r="AM789" s="39"/>
      <c r="AS789" s="39"/>
      <c r="AT789" s="39"/>
      <c r="AU789" s="39"/>
      <c r="AZ789" s="40"/>
      <c r="BA789" s="39"/>
      <c r="BB789" s="39"/>
      <c r="BC789" s="39"/>
      <c r="BI789" s="39"/>
      <c r="BJ789" s="39"/>
      <c r="BK789" s="39"/>
      <c r="BQ789" s="39"/>
      <c r="BR789" s="39"/>
      <c r="BS789" s="39"/>
      <c r="BY789" s="39"/>
      <c r="BZ789" s="39"/>
      <c r="CA789" s="39"/>
      <c r="CG789" s="39"/>
      <c r="CH789" s="39"/>
      <c r="CI789" s="39"/>
    </row>
    <row r="790" spans="2:87" ht="15.75" customHeight="1">
      <c r="B790" s="2"/>
      <c r="C790" s="10"/>
      <c r="F790" s="39"/>
      <c r="G790" s="39"/>
      <c r="H790" s="39"/>
      <c r="I790" s="39"/>
      <c r="M790" s="39"/>
      <c r="N790" s="39"/>
      <c r="O790" s="39"/>
      <c r="U790" s="39"/>
      <c r="V790" s="39"/>
      <c r="W790" s="39"/>
      <c r="AC790" s="39"/>
      <c r="AD790" s="39"/>
      <c r="AE790" s="39"/>
      <c r="AK790" s="39"/>
      <c r="AL790" s="39"/>
      <c r="AM790" s="39"/>
      <c r="AS790" s="39"/>
      <c r="AT790" s="39"/>
      <c r="AU790" s="39"/>
      <c r="AZ790" s="40"/>
      <c r="BA790" s="39"/>
      <c r="BB790" s="39"/>
      <c r="BC790" s="39"/>
      <c r="BI790" s="39"/>
      <c r="BJ790" s="39"/>
      <c r="BK790" s="39"/>
      <c r="BQ790" s="39"/>
      <c r="BR790" s="39"/>
      <c r="BS790" s="39"/>
      <c r="BY790" s="39"/>
      <c r="BZ790" s="39"/>
      <c r="CA790" s="39"/>
      <c r="CG790" s="39"/>
      <c r="CH790" s="39"/>
      <c r="CI790" s="39"/>
    </row>
    <row r="791" spans="2:87" ht="15.75" customHeight="1">
      <c r="B791" s="2"/>
      <c r="C791" s="10"/>
      <c r="F791" s="39"/>
      <c r="G791" s="39"/>
      <c r="H791" s="39"/>
      <c r="I791" s="39"/>
      <c r="M791" s="39"/>
      <c r="N791" s="39"/>
      <c r="O791" s="39"/>
      <c r="U791" s="39"/>
      <c r="V791" s="39"/>
      <c r="W791" s="39"/>
      <c r="AC791" s="39"/>
      <c r="AD791" s="39"/>
      <c r="AE791" s="39"/>
      <c r="AK791" s="39"/>
      <c r="AL791" s="39"/>
      <c r="AM791" s="39"/>
      <c r="AS791" s="39"/>
      <c r="AT791" s="39"/>
      <c r="AU791" s="39"/>
      <c r="AZ791" s="40"/>
      <c r="BA791" s="39"/>
      <c r="BB791" s="39"/>
      <c r="BC791" s="39"/>
      <c r="BI791" s="39"/>
      <c r="BJ791" s="39"/>
      <c r="BK791" s="39"/>
      <c r="BQ791" s="39"/>
      <c r="BR791" s="39"/>
      <c r="BS791" s="39"/>
      <c r="BY791" s="39"/>
      <c r="BZ791" s="39"/>
      <c r="CA791" s="39"/>
      <c r="CG791" s="39"/>
      <c r="CH791" s="39"/>
      <c r="CI791" s="39"/>
    </row>
    <row r="792" spans="2:87" ht="15.75" customHeight="1">
      <c r="B792" s="2"/>
      <c r="C792" s="10"/>
      <c r="F792" s="39"/>
      <c r="G792" s="39"/>
      <c r="H792" s="39"/>
      <c r="I792" s="39"/>
      <c r="M792" s="39"/>
      <c r="N792" s="39"/>
      <c r="O792" s="39"/>
      <c r="U792" s="39"/>
      <c r="V792" s="39"/>
      <c r="W792" s="39"/>
      <c r="AC792" s="39"/>
      <c r="AD792" s="39"/>
      <c r="AE792" s="39"/>
      <c r="AK792" s="39"/>
      <c r="AL792" s="39"/>
      <c r="AM792" s="39"/>
      <c r="AS792" s="39"/>
      <c r="AT792" s="39"/>
      <c r="AU792" s="39"/>
      <c r="AZ792" s="40"/>
      <c r="BA792" s="39"/>
      <c r="BB792" s="39"/>
      <c r="BC792" s="39"/>
      <c r="BI792" s="39"/>
      <c r="BJ792" s="39"/>
      <c r="BK792" s="39"/>
      <c r="BQ792" s="39"/>
      <c r="BR792" s="39"/>
      <c r="BS792" s="39"/>
      <c r="BY792" s="39"/>
      <c r="BZ792" s="39"/>
      <c r="CA792" s="39"/>
      <c r="CG792" s="39"/>
      <c r="CH792" s="39"/>
      <c r="CI792" s="39"/>
    </row>
    <row r="793" spans="2:87" ht="15.75" customHeight="1">
      <c r="B793" s="2"/>
      <c r="C793" s="10"/>
      <c r="F793" s="39"/>
      <c r="G793" s="39"/>
      <c r="H793" s="39"/>
      <c r="I793" s="39"/>
      <c r="M793" s="39"/>
      <c r="N793" s="39"/>
      <c r="O793" s="39"/>
      <c r="U793" s="39"/>
      <c r="V793" s="39"/>
      <c r="W793" s="39"/>
      <c r="AC793" s="39"/>
      <c r="AD793" s="39"/>
      <c r="AE793" s="39"/>
      <c r="AK793" s="39"/>
      <c r="AL793" s="39"/>
      <c r="AM793" s="39"/>
      <c r="AS793" s="39"/>
      <c r="AT793" s="39"/>
      <c r="AU793" s="39"/>
      <c r="AZ793" s="40"/>
      <c r="BA793" s="39"/>
      <c r="BB793" s="39"/>
      <c r="BC793" s="39"/>
      <c r="BI793" s="39"/>
      <c r="BJ793" s="39"/>
      <c r="BK793" s="39"/>
      <c r="BQ793" s="39"/>
      <c r="BR793" s="39"/>
      <c r="BS793" s="39"/>
      <c r="BY793" s="39"/>
      <c r="BZ793" s="39"/>
      <c r="CA793" s="39"/>
      <c r="CG793" s="39"/>
      <c r="CH793" s="39"/>
      <c r="CI793" s="39"/>
    </row>
    <row r="794" spans="2:87" ht="15.75" customHeight="1">
      <c r="B794" s="2"/>
      <c r="C794" s="10"/>
      <c r="F794" s="39"/>
      <c r="G794" s="39"/>
      <c r="H794" s="39"/>
      <c r="I794" s="39"/>
      <c r="M794" s="39"/>
      <c r="N794" s="39"/>
      <c r="O794" s="39"/>
      <c r="U794" s="39"/>
      <c r="V794" s="39"/>
      <c r="W794" s="39"/>
      <c r="AC794" s="39"/>
      <c r="AD794" s="39"/>
      <c r="AE794" s="39"/>
      <c r="AK794" s="39"/>
      <c r="AL794" s="39"/>
      <c r="AM794" s="39"/>
      <c r="AS794" s="39"/>
      <c r="AT794" s="39"/>
      <c r="AU794" s="39"/>
      <c r="AZ794" s="40"/>
      <c r="BA794" s="39"/>
      <c r="BB794" s="39"/>
      <c r="BC794" s="39"/>
      <c r="BI794" s="39"/>
      <c r="BJ794" s="39"/>
      <c r="BK794" s="39"/>
      <c r="BQ794" s="39"/>
      <c r="BR794" s="39"/>
      <c r="BS794" s="39"/>
      <c r="BY794" s="39"/>
      <c r="BZ794" s="39"/>
      <c r="CA794" s="39"/>
      <c r="CG794" s="39"/>
      <c r="CH794" s="39"/>
      <c r="CI794" s="39"/>
    </row>
    <row r="795" spans="2:87" ht="15.75" customHeight="1">
      <c r="B795" s="2"/>
      <c r="C795" s="10"/>
      <c r="F795" s="39"/>
      <c r="G795" s="39"/>
      <c r="H795" s="39"/>
      <c r="I795" s="39"/>
      <c r="M795" s="39"/>
      <c r="N795" s="39"/>
      <c r="O795" s="39"/>
      <c r="U795" s="39"/>
      <c r="V795" s="39"/>
      <c r="W795" s="39"/>
      <c r="AC795" s="39"/>
      <c r="AD795" s="39"/>
      <c r="AE795" s="39"/>
      <c r="AK795" s="39"/>
      <c r="AL795" s="39"/>
      <c r="AM795" s="39"/>
      <c r="AS795" s="39"/>
      <c r="AT795" s="39"/>
      <c r="AU795" s="39"/>
      <c r="AZ795" s="40"/>
      <c r="BA795" s="39"/>
      <c r="BB795" s="39"/>
      <c r="BC795" s="39"/>
      <c r="BI795" s="39"/>
      <c r="BJ795" s="39"/>
      <c r="BK795" s="39"/>
      <c r="BQ795" s="39"/>
      <c r="BR795" s="39"/>
      <c r="BS795" s="39"/>
      <c r="BY795" s="39"/>
      <c r="BZ795" s="39"/>
      <c r="CA795" s="39"/>
      <c r="CG795" s="39"/>
      <c r="CH795" s="39"/>
      <c r="CI795" s="39"/>
    </row>
    <row r="796" spans="2:87" ht="15.75" customHeight="1">
      <c r="B796" s="2"/>
      <c r="C796" s="10"/>
      <c r="F796" s="39"/>
      <c r="G796" s="39"/>
      <c r="H796" s="39"/>
      <c r="I796" s="39"/>
      <c r="M796" s="39"/>
      <c r="N796" s="39"/>
      <c r="O796" s="39"/>
      <c r="U796" s="39"/>
      <c r="V796" s="39"/>
      <c r="W796" s="39"/>
      <c r="AC796" s="39"/>
      <c r="AD796" s="39"/>
      <c r="AE796" s="39"/>
      <c r="AK796" s="39"/>
      <c r="AL796" s="39"/>
      <c r="AM796" s="39"/>
      <c r="AS796" s="39"/>
      <c r="AT796" s="39"/>
      <c r="AU796" s="39"/>
      <c r="AZ796" s="40"/>
      <c r="BA796" s="39"/>
      <c r="BB796" s="39"/>
      <c r="BC796" s="39"/>
      <c r="BI796" s="39"/>
      <c r="BJ796" s="39"/>
      <c r="BK796" s="39"/>
      <c r="BQ796" s="39"/>
      <c r="BR796" s="39"/>
      <c r="BS796" s="39"/>
      <c r="BY796" s="39"/>
      <c r="BZ796" s="39"/>
      <c r="CA796" s="39"/>
      <c r="CG796" s="39"/>
      <c r="CH796" s="39"/>
      <c r="CI796" s="39"/>
    </row>
    <row r="797" spans="2:87" ht="15.75" customHeight="1">
      <c r="B797" s="2"/>
      <c r="C797" s="10"/>
      <c r="F797" s="39"/>
      <c r="G797" s="39"/>
      <c r="H797" s="39"/>
      <c r="I797" s="39"/>
      <c r="M797" s="39"/>
      <c r="N797" s="39"/>
      <c r="O797" s="39"/>
      <c r="U797" s="39"/>
      <c r="V797" s="39"/>
      <c r="W797" s="39"/>
      <c r="AC797" s="39"/>
      <c r="AD797" s="39"/>
      <c r="AE797" s="39"/>
      <c r="AK797" s="39"/>
      <c r="AL797" s="39"/>
      <c r="AM797" s="39"/>
      <c r="AS797" s="39"/>
      <c r="AT797" s="39"/>
      <c r="AU797" s="39"/>
      <c r="AZ797" s="40"/>
      <c r="BA797" s="39"/>
      <c r="BB797" s="39"/>
      <c r="BC797" s="39"/>
      <c r="BI797" s="39"/>
      <c r="BJ797" s="39"/>
      <c r="BK797" s="39"/>
      <c r="BQ797" s="39"/>
      <c r="BR797" s="39"/>
      <c r="BS797" s="39"/>
      <c r="BY797" s="39"/>
      <c r="BZ797" s="39"/>
      <c r="CA797" s="39"/>
      <c r="CG797" s="39"/>
      <c r="CH797" s="39"/>
      <c r="CI797" s="39"/>
    </row>
    <row r="798" spans="2:87" ht="15.75" customHeight="1">
      <c r="B798" s="2"/>
      <c r="C798" s="10"/>
      <c r="F798" s="39"/>
      <c r="G798" s="39"/>
      <c r="H798" s="39"/>
      <c r="I798" s="39"/>
      <c r="M798" s="39"/>
      <c r="N798" s="39"/>
      <c r="O798" s="39"/>
      <c r="U798" s="39"/>
      <c r="V798" s="39"/>
      <c r="W798" s="39"/>
      <c r="AC798" s="39"/>
      <c r="AD798" s="39"/>
      <c r="AE798" s="39"/>
      <c r="AK798" s="39"/>
      <c r="AL798" s="39"/>
      <c r="AM798" s="39"/>
      <c r="AS798" s="39"/>
      <c r="AT798" s="39"/>
      <c r="AU798" s="39"/>
      <c r="AZ798" s="40"/>
      <c r="BA798" s="39"/>
      <c r="BB798" s="39"/>
      <c r="BC798" s="39"/>
      <c r="BI798" s="39"/>
      <c r="BJ798" s="39"/>
      <c r="BK798" s="39"/>
      <c r="BQ798" s="39"/>
      <c r="BR798" s="39"/>
      <c r="BS798" s="39"/>
      <c r="BY798" s="39"/>
      <c r="BZ798" s="39"/>
      <c r="CA798" s="39"/>
      <c r="CG798" s="39"/>
      <c r="CH798" s="39"/>
      <c r="CI798" s="39"/>
    </row>
    <row r="799" spans="2:87" ht="15.75" customHeight="1">
      <c r="B799" s="2"/>
      <c r="C799" s="10"/>
      <c r="F799" s="39"/>
      <c r="G799" s="39"/>
      <c r="H799" s="39"/>
      <c r="I799" s="39"/>
      <c r="M799" s="39"/>
      <c r="N799" s="39"/>
      <c r="O799" s="39"/>
      <c r="U799" s="39"/>
      <c r="V799" s="39"/>
      <c r="W799" s="39"/>
      <c r="AC799" s="39"/>
      <c r="AD799" s="39"/>
      <c r="AE799" s="39"/>
      <c r="AK799" s="39"/>
      <c r="AL799" s="39"/>
      <c r="AM799" s="39"/>
      <c r="AS799" s="39"/>
      <c r="AT799" s="39"/>
      <c r="AU799" s="39"/>
      <c r="AZ799" s="40"/>
      <c r="BA799" s="39"/>
      <c r="BB799" s="39"/>
      <c r="BC799" s="39"/>
      <c r="BI799" s="39"/>
      <c r="BJ799" s="39"/>
      <c r="BK799" s="39"/>
      <c r="BQ799" s="39"/>
      <c r="BR799" s="39"/>
      <c r="BS799" s="39"/>
      <c r="BY799" s="39"/>
      <c r="BZ799" s="39"/>
      <c r="CA799" s="39"/>
      <c r="CG799" s="39"/>
      <c r="CH799" s="39"/>
      <c r="CI799" s="39"/>
    </row>
    <row r="800" spans="2:87" ht="15.75" customHeight="1">
      <c r="B800" s="2"/>
      <c r="C800" s="10"/>
      <c r="F800" s="39"/>
      <c r="G800" s="39"/>
      <c r="H800" s="39"/>
      <c r="I800" s="39"/>
      <c r="M800" s="39"/>
      <c r="N800" s="39"/>
      <c r="O800" s="39"/>
      <c r="U800" s="39"/>
      <c r="V800" s="39"/>
      <c r="W800" s="39"/>
      <c r="AC800" s="39"/>
      <c r="AD800" s="39"/>
      <c r="AE800" s="39"/>
      <c r="AK800" s="39"/>
      <c r="AL800" s="39"/>
      <c r="AM800" s="39"/>
      <c r="AS800" s="39"/>
      <c r="AT800" s="39"/>
      <c r="AU800" s="39"/>
      <c r="AZ800" s="40"/>
      <c r="BA800" s="39"/>
      <c r="BB800" s="39"/>
      <c r="BC800" s="39"/>
      <c r="BI800" s="39"/>
      <c r="BJ800" s="39"/>
      <c r="BK800" s="39"/>
      <c r="BQ800" s="39"/>
      <c r="BR800" s="39"/>
      <c r="BS800" s="39"/>
      <c r="BY800" s="39"/>
      <c r="BZ800" s="39"/>
      <c r="CA800" s="39"/>
      <c r="CG800" s="39"/>
      <c r="CH800" s="39"/>
      <c r="CI800" s="39"/>
    </row>
    <row r="801" spans="2:87" ht="15.75" customHeight="1">
      <c r="B801" s="2"/>
      <c r="C801" s="10"/>
      <c r="F801" s="39"/>
      <c r="G801" s="39"/>
      <c r="H801" s="39"/>
      <c r="I801" s="39"/>
      <c r="M801" s="39"/>
      <c r="N801" s="39"/>
      <c r="O801" s="39"/>
      <c r="U801" s="39"/>
      <c r="V801" s="39"/>
      <c r="W801" s="39"/>
      <c r="AC801" s="39"/>
      <c r="AD801" s="39"/>
      <c r="AE801" s="39"/>
      <c r="AK801" s="39"/>
      <c r="AL801" s="39"/>
      <c r="AM801" s="39"/>
      <c r="AS801" s="39"/>
      <c r="AT801" s="39"/>
      <c r="AU801" s="39"/>
      <c r="AZ801" s="40"/>
      <c r="BA801" s="39"/>
      <c r="BB801" s="39"/>
      <c r="BC801" s="39"/>
      <c r="BI801" s="39"/>
      <c r="BJ801" s="39"/>
      <c r="BK801" s="39"/>
      <c r="BQ801" s="39"/>
      <c r="BR801" s="39"/>
      <c r="BS801" s="39"/>
      <c r="BY801" s="39"/>
      <c r="BZ801" s="39"/>
      <c r="CA801" s="39"/>
      <c r="CG801" s="39"/>
      <c r="CH801" s="39"/>
      <c r="CI801" s="39"/>
    </row>
    <row r="802" spans="2:87" ht="15.75" customHeight="1">
      <c r="B802" s="2"/>
      <c r="C802" s="10"/>
      <c r="F802" s="39"/>
      <c r="G802" s="39"/>
      <c r="H802" s="39"/>
      <c r="I802" s="39"/>
      <c r="M802" s="39"/>
      <c r="N802" s="39"/>
      <c r="O802" s="39"/>
      <c r="U802" s="39"/>
      <c r="V802" s="39"/>
      <c r="W802" s="39"/>
      <c r="AC802" s="39"/>
      <c r="AD802" s="39"/>
      <c r="AE802" s="39"/>
      <c r="AK802" s="39"/>
      <c r="AL802" s="39"/>
      <c r="AM802" s="39"/>
      <c r="AS802" s="39"/>
      <c r="AT802" s="39"/>
      <c r="AU802" s="39"/>
      <c r="AZ802" s="40"/>
      <c r="BA802" s="39"/>
      <c r="BB802" s="39"/>
      <c r="BC802" s="39"/>
      <c r="BI802" s="39"/>
      <c r="BJ802" s="39"/>
      <c r="BK802" s="39"/>
      <c r="BQ802" s="39"/>
      <c r="BR802" s="39"/>
      <c r="BS802" s="39"/>
      <c r="BY802" s="39"/>
      <c r="BZ802" s="39"/>
      <c r="CA802" s="39"/>
      <c r="CG802" s="39"/>
      <c r="CH802" s="39"/>
      <c r="CI802" s="39"/>
    </row>
    <row r="803" spans="2:87" ht="15.75" customHeight="1">
      <c r="B803" s="2"/>
      <c r="C803" s="10"/>
      <c r="F803" s="39"/>
      <c r="G803" s="39"/>
      <c r="H803" s="39"/>
      <c r="I803" s="39"/>
      <c r="M803" s="39"/>
      <c r="N803" s="39"/>
      <c r="O803" s="39"/>
      <c r="U803" s="39"/>
      <c r="V803" s="39"/>
      <c r="W803" s="39"/>
      <c r="AC803" s="39"/>
      <c r="AD803" s="39"/>
      <c r="AE803" s="39"/>
      <c r="AK803" s="39"/>
      <c r="AL803" s="39"/>
      <c r="AM803" s="39"/>
      <c r="AS803" s="39"/>
      <c r="AT803" s="39"/>
      <c r="AU803" s="39"/>
      <c r="AZ803" s="40"/>
      <c r="BA803" s="39"/>
      <c r="BB803" s="39"/>
      <c r="BC803" s="39"/>
      <c r="BI803" s="39"/>
      <c r="BJ803" s="39"/>
      <c r="BK803" s="39"/>
      <c r="BQ803" s="39"/>
      <c r="BR803" s="39"/>
      <c r="BS803" s="39"/>
      <c r="BY803" s="39"/>
      <c r="BZ803" s="39"/>
      <c r="CA803" s="39"/>
      <c r="CG803" s="39"/>
      <c r="CH803" s="39"/>
      <c r="CI803" s="39"/>
    </row>
    <row r="804" spans="2:87" ht="15.75" customHeight="1">
      <c r="B804" s="2"/>
      <c r="C804" s="10"/>
      <c r="F804" s="39"/>
      <c r="G804" s="39"/>
      <c r="H804" s="39"/>
      <c r="I804" s="39"/>
      <c r="M804" s="39"/>
      <c r="N804" s="39"/>
      <c r="O804" s="39"/>
      <c r="U804" s="39"/>
      <c r="V804" s="39"/>
      <c r="W804" s="39"/>
      <c r="AC804" s="39"/>
      <c r="AD804" s="39"/>
      <c r="AE804" s="39"/>
      <c r="AK804" s="39"/>
      <c r="AL804" s="39"/>
      <c r="AM804" s="39"/>
      <c r="AS804" s="39"/>
      <c r="AT804" s="39"/>
      <c r="AU804" s="39"/>
      <c r="AZ804" s="40"/>
      <c r="BA804" s="39"/>
      <c r="BB804" s="39"/>
      <c r="BC804" s="39"/>
      <c r="BI804" s="39"/>
      <c r="BJ804" s="39"/>
      <c r="BK804" s="39"/>
      <c r="BQ804" s="39"/>
      <c r="BR804" s="39"/>
      <c r="BS804" s="39"/>
      <c r="BY804" s="39"/>
      <c r="BZ804" s="39"/>
      <c r="CA804" s="39"/>
      <c r="CG804" s="39"/>
      <c r="CH804" s="39"/>
      <c r="CI804" s="39"/>
    </row>
    <row r="805" spans="2:87" ht="15.75" customHeight="1">
      <c r="B805" s="2"/>
      <c r="C805" s="10"/>
      <c r="F805" s="39"/>
      <c r="G805" s="39"/>
      <c r="H805" s="39"/>
      <c r="I805" s="39"/>
      <c r="M805" s="39"/>
      <c r="N805" s="39"/>
      <c r="O805" s="39"/>
      <c r="U805" s="39"/>
      <c r="V805" s="39"/>
      <c r="W805" s="39"/>
      <c r="AC805" s="39"/>
      <c r="AD805" s="39"/>
      <c r="AE805" s="39"/>
      <c r="AK805" s="39"/>
      <c r="AL805" s="39"/>
      <c r="AM805" s="39"/>
      <c r="AS805" s="39"/>
      <c r="AT805" s="39"/>
      <c r="AU805" s="39"/>
      <c r="AZ805" s="40"/>
      <c r="BA805" s="39"/>
      <c r="BB805" s="39"/>
      <c r="BC805" s="39"/>
      <c r="BI805" s="39"/>
      <c r="BJ805" s="39"/>
      <c r="BK805" s="39"/>
      <c r="BQ805" s="39"/>
      <c r="BR805" s="39"/>
      <c r="BS805" s="39"/>
      <c r="BY805" s="39"/>
      <c r="BZ805" s="39"/>
      <c r="CA805" s="39"/>
      <c r="CG805" s="39"/>
      <c r="CH805" s="39"/>
      <c r="CI805" s="39"/>
    </row>
    <row r="806" spans="2:87" ht="15.75" customHeight="1">
      <c r="B806" s="2"/>
      <c r="C806" s="10"/>
      <c r="F806" s="39"/>
      <c r="G806" s="39"/>
      <c r="H806" s="39"/>
      <c r="I806" s="39"/>
      <c r="M806" s="39"/>
      <c r="N806" s="39"/>
      <c r="O806" s="39"/>
      <c r="U806" s="39"/>
      <c r="V806" s="39"/>
      <c r="W806" s="39"/>
      <c r="AC806" s="39"/>
      <c r="AD806" s="39"/>
      <c r="AE806" s="39"/>
      <c r="AK806" s="39"/>
      <c r="AL806" s="39"/>
      <c r="AM806" s="39"/>
      <c r="AS806" s="39"/>
      <c r="AT806" s="39"/>
      <c r="AU806" s="39"/>
      <c r="AZ806" s="40"/>
      <c r="BA806" s="39"/>
      <c r="BB806" s="39"/>
      <c r="BC806" s="39"/>
      <c r="BI806" s="39"/>
      <c r="BJ806" s="39"/>
      <c r="BK806" s="39"/>
      <c r="BQ806" s="39"/>
      <c r="BR806" s="39"/>
      <c r="BS806" s="39"/>
      <c r="BY806" s="39"/>
      <c r="BZ806" s="39"/>
      <c r="CA806" s="39"/>
      <c r="CG806" s="39"/>
      <c r="CH806" s="39"/>
      <c r="CI806" s="39"/>
    </row>
    <row r="807" spans="2:87" ht="15.75" customHeight="1">
      <c r="B807" s="2"/>
      <c r="C807" s="10"/>
      <c r="F807" s="39"/>
      <c r="G807" s="39"/>
      <c r="H807" s="39"/>
      <c r="I807" s="39"/>
      <c r="M807" s="39"/>
      <c r="N807" s="39"/>
      <c r="O807" s="39"/>
      <c r="U807" s="39"/>
      <c r="V807" s="39"/>
      <c r="W807" s="39"/>
      <c r="AC807" s="39"/>
      <c r="AD807" s="39"/>
      <c r="AE807" s="39"/>
      <c r="AK807" s="39"/>
      <c r="AL807" s="39"/>
      <c r="AM807" s="39"/>
      <c r="AS807" s="39"/>
      <c r="AT807" s="39"/>
      <c r="AU807" s="39"/>
      <c r="AZ807" s="40"/>
      <c r="BA807" s="39"/>
      <c r="BB807" s="39"/>
      <c r="BC807" s="39"/>
      <c r="BI807" s="39"/>
      <c r="BJ807" s="39"/>
      <c r="BK807" s="39"/>
      <c r="BQ807" s="39"/>
      <c r="BR807" s="39"/>
      <c r="BS807" s="39"/>
      <c r="BY807" s="39"/>
      <c r="BZ807" s="39"/>
      <c r="CA807" s="39"/>
      <c r="CG807" s="39"/>
      <c r="CH807" s="39"/>
      <c r="CI807" s="39"/>
    </row>
    <row r="808" spans="2:87" ht="15.75" customHeight="1">
      <c r="B808" s="2"/>
      <c r="C808" s="10"/>
      <c r="F808" s="39"/>
      <c r="G808" s="39"/>
      <c r="H808" s="39"/>
      <c r="I808" s="39"/>
      <c r="M808" s="39"/>
      <c r="N808" s="39"/>
      <c r="O808" s="39"/>
      <c r="U808" s="39"/>
      <c r="V808" s="39"/>
      <c r="W808" s="39"/>
      <c r="AC808" s="39"/>
      <c r="AD808" s="39"/>
      <c r="AE808" s="39"/>
      <c r="AK808" s="39"/>
      <c r="AL808" s="39"/>
      <c r="AM808" s="39"/>
      <c r="AS808" s="39"/>
      <c r="AT808" s="39"/>
      <c r="AU808" s="39"/>
      <c r="AZ808" s="40"/>
      <c r="BA808" s="39"/>
      <c r="BB808" s="39"/>
      <c r="BC808" s="39"/>
      <c r="BI808" s="39"/>
      <c r="BJ808" s="39"/>
      <c r="BK808" s="39"/>
      <c r="BQ808" s="39"/>
      <c r="BR808" s="39"/>
      <c r="BS808" s="39"/>
      <c r="BY808" s="39"/>
      <c r="BZ808" s="39"/>
      <c r="CA808" s="39"/>
      <c r="CG808" s="39"/>
      <c r="CH808" s="39"/>
      <c r="CI808" s="39"/>
    </row>
    <row r="809" spans="2:87" ht="15.75" customHeight="1">
      <c r="B809" s="2"/>
      <c r="C809" s="10"/>
      <c r="F809" s="39"/>
      <c r="G809" s="39"/>
      <c r="H809" s="39"/>
      <c r="I809" s="39"/>
      <c r="M809" s="39"/>
      <c r="N809" s="39"/>
      <c r="O809" s="39"/>
      <c r="U809" s="39"/>
      <c r="V809" s="39"/>
      <c r="W809" s="39"/>
      <c r="AC809" s="39"/>
      <c r="AD809" s="39"/>
      <c r="AE809" s="39"/>
      <c r="AK809" s="39"/>
      <c r="AL809" s="39"/>
      <c r="AM809" s="39"/>
      <c r="AS809" s="39"/>
      <c r="AT809" s="39"/>
      <c r="AU809" s="39"/>
      <c r="AZ809" s="40"/>
      <c r="BA809" s="39"/>
      <c r="BB809" s="39"/>
      <c r="BC809" s="39"/>
      <c r="BI809" s="39"/>
      <c r="BJ809" s="39"/>
      <c r="BK809" s="39"/>
      <c r="BQ809" s="39"/>
      <c r="BR809" s="39"/>
      <c r="BS809" s="39"/>
      <c r="BY809" s="39"/>
      <c r="BZ809" s="39"/>
      <c r="CA809" s="39"/>
      <c r="CG809" s="39"/>
      <c r="CH809" s="39"/>
      <c r="CI809" s="39"/>
    </row>
    <row r="810" spans="2:87" ht="15.75" customHeight="1">
      <c r="B810" s="2"/>
      <c r="C810" s="10"/>
      <c r="F810" s="39"/>
      <c r="G810" s="39"/>
      <c r="H810" s="39"/>
      <c r="I810" s="39"/>
      <c r="M810" s="39"/>
      <c r="N810" s="39"/>
      <c r="O810" s="39"/>
      <c r="U810" s="39"/>
      <c r="V810" s="39"/>
      <c r="W810" s="39"/>
      <c r="AC810" s="39"/>
      <c r="AD810" s="39"/>
      <c r="AE810" s="39"/>
      <c r="AK810" s="39"/>
      <c r="AL810" s="39"/>
      <c r="AM810" s="39"/>
      <c r="AS810" s="39"/>
      <c r="AT810" s="39"/>
      <c r="AU810" s="39"/>
      <c r="AZ810" s="40"/>
      <c r="BA810" s="39"/>
      <c r="BB810" s="39"/>
      <c r="BC810" s="39"/>
      <c r="BI810" s="39"/>
      <c r="BJ810" s="39"/>
      <c r="BK810" s="39"/>
      <c r="BQ810" s="39"/>
      <c r="BR810" s="39"/>
      <c r="BS810" s="39"/>
      <c r="BY810" s="39"/>
      <c r="BZ810" s="39"/>
      <c r="CA810" s="39"/>
      <c r="CG810" s="39"/>
      <c r="CH810" s="39"/>
      <c r="CI810" s="39"/>
    </row>
    <row r="811" spans="2:87" ht="15.75" customHeight="1">
      <c r="B811" s="2"/>
      <c r="C811" s="10"/>
      <c r="F811" s="39"/>
      <c r="G811" s="39"/>
      <c r="H811" s="39"/>
      <c r="I811" s="39"/>
      <c r="M811" s="39"/>
      <c r="N811" s="39"/>
      <c r="O811" s="39"/>
      <c r="U811" s="39"/>
      <c r="V811" s="39"/>
      <c r="W811" s="39"/>
      <c r="AC811" s="39"/>
      <c r="AD811" s="39"/>
      <c r="AE811" s="39"/>
      <c r="AK811" s="39"/>
      <c r="AL811" s="39"/>
      <c r="AM811" s="39"/>
      <c r="AS811" s="39"/>
      <c r="AT811" s="39"/>
      <c r="AU811" s="39"/>
      <c r="AZ811" s="40"/>
      <c r="BA811" s="39"/>
      <c r="BB811" s="39"/>
      <c r="BC811" s="39"/>
      <c r="BI811" s="39"/>
      <c r="BJ811" s="39"/>
      <c r="BK811" s="39"/>
      <c r="BQ811" s="39"/>
      <c r="BR811" s="39"/>
      <c r="BS811" s="39"/>
      <c r="BY811" s="39"/>
      <c r="BZ811" s="39"/>
      <c r="CA811" s="39"/>
      <c r="CG811" s="39"/>
      <c r="CH811" s="39"/>
      <c r="CI811" s="39"/>
    </row>
    <row r="812" spans="2:87" ht="15.75" customHeight="1">
      <c r="B812" s="2"/>
      <c r="C812" s="10"/>
      <c r="F812" s="39"/>
      <c r="G812" s="39"/>
      <c r="H812" s="39"/>
      <c r="I812" s="39"/>
      <c r="M812" s="39"/>
      <c r="N812" s="39"/>
      <c r="O812" s="39"/>
      <c r="U812" s="39"/>
      <c r="V812" s="39"/>
      <c r="W812" s="39"/>
      <c r="AC812" s="39"/>
      <c r="AD812" s="39"/>
      <c r="AE812" s="39"/>
      <c r="AK812" s="39"/>
      <c r="AL812" s="39"/>
      <c r="AM812" s="39"/>
      <c r="AS812" s="39"/>
      <c r="AT812" s="39"/>
      <c r="AU812" s="39"/>
      <c r="AZ812" s="40"/>
      <c r="BA812" s="39"/>
      <c r="BB812" s="39"/>
      <c r="BC812" s="39"/>
      <c r="BI812" s="39"/>
      <c r="BJ812" s="39"/>
      <c r="BK812" s="39"/>
      <c r="BQ812" s="39"/>
      <c r="BR812" s="39"/>
      <c r="BS812" s="39"/>
      <c r="BY812" s="39"/>
      <c r="BZ812" s="39"/>
      <c r="CA812" s="39"/>
      <c r="CG812" s="39"/>
      <c r="CH812" s="39"/>
      <c r="CI812" s="39"/>
    </row>
    <row r="813" spans="2:87" ht="15.75" customHeight="1">
      <c r="B813" s="2"/>
      <c r="C813" s="10"/>
      <c r="F813" s="39"/>
      <c r="G813" s="39"/>
      <c r="H813" s="39"/>
      <c r="I813" s="39"/>
      <c r="M813" s="39"/>
      <c r="N813" s="39"/>
      <c r="O813" s="39"/>
      <c r="U813" s="39"/>
      <c r="V813" s="39"/>
      <c r="W813" s="39"/>
      <c r="AC813" s="39"/>
      <c r="AD813" s="39"/>
      <c r="AE813" s="39"/>
      <c r="AK813" s="39"/>
      <c r="AL813" s="39"/>
      <c r="AM813" s="39"/>
      <c r="AS813" s="39"/>
      <c r="AT813" s="39"/>
      <c r="AU813" s="39"/>
      <c r="AZ813" s="40"/>
      <c r="BA813" s="39"/>
      <c r="BB813" s="39"/>
      <c r="BC813" s="39"/>
      <c r="BI813" s="39"/>
      <c r="BJ813" s="39"/>
      <c r="BK813" s="39"/>
      <c r="BQ813" s="39"/>
      <c r="BR813" s="39"/>
      <c r="BS813" s="39"/>
      <c r="BY813" s="39"/>
      <c r="BZ813" s="39"/>
      <c r="CA813" s="39"/>
      <c r="CG813" s="39"/>
      <c r="CH813" s="39"/>
      <c r="CI813" s="39"/>
    </row>
    <row r="814" spans="2:87" ht="15.75" customHeight="1">
      <c r="B814" s="2"/>
      <c r="C814" s="10"/>
      <c r="F814" s="39"/>
      <c r="G814" s="39"/>
      <c r="H814" s="39"/>
      <c r="I814" s="39"/>
      <c r="M814" s="39"/>
      <c r="N814" s="39"/>
      <c r="O814" s="39"/>
      <c r="U814" s="39"/>
      <c r="V814" s="39"/>
      <c r="W814" s="39"/>
      <c r="AC814" s="39"/>
      <c r="AD814" s="39"/>
      <c r="AE814" s="39"/>
      <c r="AK814" s="39"/>
      <c r="AL814" s="39"/>
      <c r="AM814" s="39"/>
      <c r="AS814" s="39"/>
      <c r="AT814" s="39"/>
      <c r="AU814" s="39"/>
      <c r="AZ814" s="40"/>
      <c r="BA814" s="39"/>
      <c r="BB814" s="39"/>
      <c r="BC814" s="39"/>
      <c r="BI814" s="39"/>
      <c r="BJ814" s="39"/>
      <c r="BK814" s="39"/>
      <c r="BQ814" s="39"/>
      <c r="BR814" s="39"/>
      <c r="BS814" s="39"/>
      <c r="BY814" s="39"/>
      <c r="BZ814" s="39"/>
      <c r="CA814" s="39"/>
      <c r="CG814" s="39"/>
      <c r="CH814" s="39"/>
      <c r="CI814" s="39"/>
    </row>
    <row r="815" spans="2:87" ht="15.75" customHeight="1">
      <c r="B815" s="2"/>
      <c r="C815" s="10"/>
      <c r="F815" s="39"/>
      <c r="G815" s="39"/>
      <c r="H815" s="39"/>
      <c r="I815" s="39"/>
      <c r="M815" s="39"/>
      <c r="N815" s="39"/>
      <c r="O815" s="39"/>
      <c r="U815" s="39"/>
      <c r="V815" s="39"/>
      <c r="W815" s="39"/>
      <c r="AC815" s="39"/>
      <c r="AD815" s="39"/>
      <c r="AE815" s="39"/>
      <c r="AK815" s="39"/>
      <c r="AL815" s="39"/>
      <c r="AM815" s="39"/>
      <c r="AS815" s="39"/>
      <c r="AT815" s="39"/>
      <c r="AU815" s="39"/>
      <c r="AZ815" s="40"/>
      <c r="BA815" s="39"/>
      <c r="BB815" s="39"/>
      <c r="BC815" s="39"/>
      <c r="BI815" s="39"/>
      <c r="BJ815" s="39"/>
      <c r="BK815" s="39"/>
      <c r="BQ815" s="39"/>
      <c r="BR815" s="39"/>
      <c r="BS815" s="39"/>
      <c r="BY815" s="39"/>
      <c r="BZ815" s="39"/>
      <c r="CA815" s="39"/>
      <c r="CG815" s="39"/>
      <c r="CH815" s="39"/>
      <c r="CI815" s="39"/>
    </row>
    <row r="816" spans="2:87" ht="15.75" customHeight="1">
      <c r="B816" s="2"/>
      <c r="C816" s="10"/>
      <c r="F816" s="39"/>
      <c r="G816" s="39"/>
      <c r="H816" s="39"/>
      <c r="I816" s="39"/>
      <c r="M816" s="39"/>
      <c r="N816" s="39"/>
      <c r="O816" s="39"/>
      <c r="U816" s="39"/>
      <c r="V816" s="39"/>
      <c r="W816" s="39"/>
      <c r="AC816" s="39"/>
      <c r="AD816" s="39"/>
      <c r="AE816" s="39"/>
      <c r="AK816" s="39"/>
      <c r="AL816" s="39"/>
      <c r="AM816" s="39"/>
      <c r="AS816" s="39"/>
      <c r="AT816" s="39"/>
      <c r="AU816" s="39"/>
      <c r="AZ816" s="40"/>
      <c r="BA816" s="39"/>
      <c r="BB816" s="39"/>
      <c r="BC816" s="39"/>
      <c r="BI816" s="39"/>
      <c r="BJ816" s="39"/>
      <c r="BK816" s="39"/>
      <c r="BQ816" s="39"/>
      <c r="BR816" s="39"/>
      <c r="BS816" s="39"/>
      <c r="BY816" s="39"/>
      <c r="BZ816" s="39"/>
      <c r="CA816" s="39"/>
      <c r="CG816" s="39"/>
      <c r="CH816" s="39"/>
      <c r="CI816" s="39"/>
    </row>
    <row r="817" spans="2:87" ht="15.75" customHeight="1">
      <c r="B817" s="2"/>
      <c r="C817" s="10"/>
      <c r="F817" s="39"/>
      <c r="G817" s="39"/>
      <c r="H817" s="39"/>
      <c r="I817" s="39"/>
      <c r="M817" s="39"/>
      <c r="N817" s="39"/>
      <c r="O817" s="39"/>
      <c r="U817" s="39"/>
      <c r="V817" s="39"/>
      <c r="W817" s="39"/>
      <c r="AC817" s="39"/>
      <c r="AD817" s="39"/>
      <c r="AE817" s="39"/>
      <c r="AK817" s="39"/>
      <c r="AL817" s="39"/>
      <c r="AM817" s="39"/>
      <c r="AS817" s="39"/>
      <c r="AT817" s="39"/>
      <c r="AU817" s="39"/>
      <c r="AZ817" s="40"/>
      <c r="BA817" s="39"/>
      <c r="BB817" s="39"/>
      <c r="BC817" s="39"/>
      <c r="BI817" s="39"/>
      <c r="BJ817" s="39"/>
      <c r="BK817" s="39"/>
      <c r="BQ817" s="39"/>
      <c r="BR817" s="39"/>
      <c r="BS817" s="39"/>
      <c r="BY817" s="39"/>
      <c r="BZ817" s="39"/>
      <c r="CA817" s="39"/>
      <c r="CG817" s="39"/>
      <c r="CH817" s="39"/>
      <c r="CI817" s="39"/>
    </row>
    <row r="818" spans="2:87" ht="15.75" customHeight="1">
      <c r="B818" s="2"/>
      <c r="C818" s="10"/>
      <c r="F818" s="39"/>
      <c r="G818" s="39"/>
      <c r="H818" s="39"/>
      <c r="I818" s="39"/>
      <c r="M818" s="39"/>
      <c r="N818" s="39"/>
      <c r="O818" s="39"/>
      <c r="U818" s="39"/>
      <c r="V818" s="39"/>
      <c r="W818" s="39"/>
      <c r="AC818" s="39"/>
      <c r="AD818" s="39"/>
      <c r="AE818" s="39"/>
      <c r="AK818" s="39"/>
      <c r="AL818" s="39"/>
      <c r="AM818" s="39"/>
      <c r="AS818" s="39"/>
      <c r="AT818" s="39"/>
      <c r="AU818" s="39"/>
      <c r="AZ818" s="40"/>
      <c r="BA818" s="39"/>
      <c r="BB818" s="39"/>
      <c r="BC818" s="39"/>
      <c r="BI818" s="39"/>
      <c r="BJ818" s="39"/>
      <c r="BK818" s="39"/>
      <c r="BQ818" s="39"/>
      <c r="BR818" s="39"/>
      <c r="BS818" s="39"/>
      <c r="BY818" s="39"/>
      <c r="BZ818" s="39"/>
      <c r="CA818" s="39"/>
      <c r="CG818" s="39"/>
      <c r="CH818" s="39"/>
      <c r="CI818" s="39"/>
    </row>
    <row r="819" spans="2:87" ht="15.75" customHeight="1">
      <c r="B819" s="2"/>
      <c r="C819" s="10"/>
      <c r="F819" s="39"/>
      <c r="G819" s="39"/>
      <c r="H819" s="39"/>
      <c r="I819" s="39"/>
      <c r="M819" s="39"/>
      <c r="N819" s="39"/>
      <c r="O819" s="39"/>
      <c r="U819" s="39"/>
      <c r="V819" s="39"/>
      <c r="W819" s="39"/>
      <c r="AC819" s="39"/>
      <c r="AD819" s="39"/>
      <c r="AE819" s="39"/>
      <c r="AK819" s="39"/>
      <c r="AL819" s="39"/>
      <c r="AM819" s="39"/>
      <c r="AS819" s="39"/>
      <c r="AT819" s="39"/>
      <c r="AU819" s="39"/>
      <c r="AZ819" s="40"/>
      <c r="BA819" s="39"/>
      <c r="BB819" s="39"/>
      <c r="BC819" s="39"/>
      <c r="BI819" s="39"/>
      <c r="BJ819" s="39"/>
      <c r="BK819" s="39"/>
      <c r="BQ819" s="39"/>
      <c r="BR819" s="39"/>
      <c r="BS819" s="39"/>
      <c r="BY819" s="39"/>
      <c r="BZ819" s="39"/>
      <c r="CA819" s="39"/>
      <c r="CG819" s="39"/>
      <c r="CH819" s="39"/>
      <c r="CI819" s="39"/>
    </row>
    <row r="820" spans="2:87" ht="15.75" customHeight="1">
      <c r="B820" s="2"/>
      <c r="C820" s="10"/>
      <c r="F820" s="39"/>
      <c r="G820" s="39"/>
      <c r="H820" s="39"/>
      <c r="I820" s="39"/>
      <c r="M820" s="39"/>
      <c r="N820" s="39"/>
      <c r="O820" s="39"/>
      <c r="U820" s="39"/>
      <c r="V820" s="39"/>
      <c r="W820" s="39"/>
      <c r="AC820" s="39"/>
      <c r="AD820" s="39"/>
      <c r="AE820" s="39"/>
      <c r="AK820" s="39"/>
      <c r="AL820" s="39"/>
      <c r="AM820" s="39"/>
      <c r="AS820" s="39"/>
      <c r="AT820" s="39"/>
      <c r="AU820" s="39"/>
      <c r="AZ820" s="40"/>
      <c r="BA820" s="39"/>
      <c r="BB820" s="39"/>
      <c r="BC820" s="39"/>
      <c r="BI820" s="39"/>
      <c r="BJ820" s="39"/>
      <c r="BK820" s="39"/>
      <c r="BQ820" s="39"/>
      <c r="BR820" s="39"/>
      <c r="BS820" s="39"/>
      <c r="BY820" s="39"/>
      <c r="BZ820" s="39"/>
      <c r="CA820" s="39"/>
      <c r="CG820" s="39"/>
      <c r="CH820" s="39"/>
      <c r="CI820" s="39"/>
    </row>
    <row r="821" spans="2:87" ht="15.75" customHeight="1">
      <c r="B821" s="2"/>
      <c r="C821" s="10"/>
      <c r="F821" s="39"/>
      <c r="G821" s="39"/>
      <c r="H821" s="39"/>
      <c r="I821" s="39"/>
      <c r="M821" s="39"/>
      <c r="N821" s="39"/>
      <c r="O821" s="39"/>
      <c r="U821" s="39"/>
      <c r="V821" s="39"/>
      <c r="W821" s="39"/>
      <c r="AC821" s="39"/>
      <c r="AD821" s="39"/>
      <c r="AE821" s="39"/>
      <c r="AK821" s="39"/>
      <c r="AL821" s="39"/>
      <c r="AM821" s="39"/>
      <c r="AS821" s="39"/>
      <c r="AT821" s="39"/>
      <c r="AU821" s="39"/>
      <c r="AZ821" s="40"/>
      <c r="BA821" s="39"/>
      <c r="BB821" s="39"/>
      <c r="BC821" s="39"/>
      <c r="BI821" s="39"/>
      <c r="BJ821" s="39"/>
      <c r="BK821" s="39"/>
      <c r="BQ821" s="39"/>
      <c r="BR821" s="39"/>
      <c r="BS821" s="39"/>
      <c r="BY821" s="39"/>
      <c r="BZ821" s="39"/>
      <c r="CA821" s="39"/>
      <c r="CG821" s="39"/>
      <c r="CH821" s="39"/>
      <c r="CI821" s="39"/>
    </row>
    <row r="822" spans="2:87" ht="15.75" customHeight="1">
      <c r="B822" s="2"/>
      <c r="C822" s="10"/>
      <c r="F822" s="39"/>
      <c r="G822" s="39"/>
      <c r="H822" s="39"/>
      <c r="I822" s="39"/>
      <c r="M822" s="39"/>
      <c r="N822" s="39"/>
      <c r="O822" s="39"/>
      <c r="U822" s="39"/>
      <c r="V822" s="39"/>
      <c r="W822" s="39"/>
      <c r="AC822" s="39"/>
      <c r="AD822" s="39"/>
      <c r="AE822" s="39"/>
      <c r="AK822" s="39"/>
      <c r="AL822" s="39"/>
      <c r="AM822" s="39"/>
      <c r="AS822" s="39"/>
      <c r="AT822" s="39"/>
      <c r="AU822" s="39"/>
      <c r="AZ822" s="40"/>
      <c r="BA822" s="39"/>
      <c r="BB822" s="39"/>
      <c r="BC822" s="39"/>
      <c r="BI822" s="39"/>
      <c r="BJ822" s="39"/>
      <c r="BK822" s="39"/>
      <c r="BQ822" s="39"/>
      <c r="BR822" s="39"/>
      <c r="BS822" s="39"/>
      <c r="BY822" s="39"/>
      <c r="BZ822" s="39"/>
      <c r="CA822" s="39"/>
      <c r="CG822" s="39"/>
      <c r="CH822" s="39"/>
      <c r="CI822" s="39"/>
    </row>
    <row r="823" spans="2:87" ht="15.75" customHeight="1">
      <c r="B823" s="2"/>
      <c r="C823" s="10"/>
      <c r="F823" s="39"/>
      <c r="G823" s="39"/>
      <c r="H823" s="39"/>
      <c r="I823" s="39"/>
      <c r="M823" s="39"/>
      <c r="N823" s="39"/>
      <c r="O823" s="39"/>
      <c r="U823" s="39"/>
      <c r="V823" s="39"/>
      <c r="W823" s="39"/>
      <c r="AC823" s="39"/>
      <c r="AD823" s="39"/>
      <c r="AE823" s="39"/>
      <c r="AK823" s="39"/>
      <c r="AL823" s="39"/>
      <c r="AM823" s="39"/>
      <c r="AS823" s="39"/>
      <c r="AT823" s="39"/>
      <c r="AU823" s="39"/>
      <c r="AZ823" s="40"/>
      <c r="BA823" s="39"/>
      <c r="BB823" s="39"/>
      <c r="BC823" s="39"/>
      <c r="BI823" s="39"/>
      <c r="BJ823" s="39"/>
      <c r="BK823" s="39"/>
      <c r="BQ823" s="39"/>
      <c r="BR823" s="39"/>
      <c r="BS823" s="39"/>
      <c r="BY823" s="39"/>
      <c r="BZ823" s="39"/>
      <c r="CA823" s="39"/>
      <c r="CG823" s="39"/>
      <c r="CH823" s="39"/>
      <c r="CI823" s="39"/>
    </row>
    <row r="824" spans="2:87" ht="15.75" customHeight="1">
      <c r="B824" s="2"/>
      <c r="C824" s="10"/>
      <c r="F824" s="39"/>
      <c r="G824" s="39"/>
      <c r="H824" s="39"/>
      <c r="I824" s="39"/>
      <c r="M824" s="39"/>
      <c r="N824" s="39"/>
      <c r="O824" s="39"/>
      <c r="U824" s="39"/>
      <c r="V824" s="39"/>
      <c r="W824" s="39"/>
      <c r="AC824" s="39"/>
      <c r="AD824" s="39"/>
      <c r="AE824" s="39"/>
      <c r="AK824" s="39"/>
      <c r="AL824" s="39"/>
      <c r="AM824" s="39"/>
      <c r="AS824" s="39"/>
      <c r="AT824" s="39"/>
      <c r="AU824" s="39"/>
      <c r="AZ824" s="40"/>
      <c r="BA824" s="39"/>
      <c r="BB824" s="39"/>
      <c r="BC824" s="39"/>
      <c r="BI824" s="39"/>
      <c r="BJ824" s="39"/>
      <c r="BK824" s="39"/>
      <c r="BQ824" s="39"/>
      <c r="BR824" s="39"/>
      <c r="BS824" s="39"/>
      <c r="BY824" s="39"/>
      <c r="BZ824" s="39"/>
      <c r="CA824" s="39"/>
      <c r="CG824" s="39"/>
      <c r="CH824" s="39"/>
      <c r="CI824" s="39"/>
    </row>
    <row r="825" spans="2:87" ht="15.75" customHeight="1">
      <c r="B825" s="2"/>
      <c r="C825" s="10"/>
      <c r="F825" s="39"/>
      <c r="G825" s="39"/>
      <c r="H825" s="39"/>
      <c r="I825" s="39"/>
      <c r="M825" s="39"/>
      <c r="N825" s="39"/>
      <c r="O825" s="39"/>
      <c r="U825" s="39"/>
      <c r="V825" s="39"/>
      <c r="W825" s="39"/>
      <c r="AC825" s="39"/>
      <c r="AD825" s="39"/>
      <c r="AE825" s="39"/>
      <c r="AK825" s="39"/>
      <c r="AL825" s="39"/>
      <c r="AM825" s="39"/>
      <c r="AS825" s="39"/>
      <c r="AT825" s="39"/>
      <c r="AU825" s="39"/>
      <c r="AZ825" s="40"/>
      <c r="BA825" s="39"/>
      <c r="BB825" s="39"/>
      <c r="BC825" s="39"/>
      <c r="BI825" s="39"/>
      <c r="BJ825" s="39"/>
      <c r="BK825" s="39"/>
      <c r="BQ825" s="39"/>
      <c r="BR825" s="39"/>
      <c r="BS825" s="39"/>
      <c r="BY825" s="39"/>
      <c r="BZ825" s="39"/>
      <c r="CA825" s="39"/>
      <c r="CG825" s="39"/>
      <c r="CH825" s="39"/>
      <c r="CI825" s="39"/>
    </row>
    <row r="826" spans="2:87" ht="15.75" customHeight="1">
      <c r="B826" s="2"/>
      <c r="C826" s="10"/>
      <c r="F826" s="39"/>
      <c r="G826" s="39"/>
      <c r="H826" s="39"/>
      <c r="I826" s="39"/>
      <c r="M826" s="39"/>
      <c r="N826" s="39"/>
      <c r="O826" s="39"/>
      <c r="U826" s="39"/>
      <c r="V826" s="39"/>
      <c r="W826" s="39"/>
      <c r="AC826" s="39"/>
      <c r="AD826" s="39"/>
      <c r="AE826" s="39"/>
      <c r="AK826" s="39"/>
      <c r="AL826" s="39"/>
      <c r="AM826" s="39"/>
      <c r="AS826" s="39"/>
      <c r="AT826" s="39"/>
      <c r="AU826" s="39"/>
      <c r="AZ826" s="40"/>
      <c r="BA826" s="39"/>
      <c r="BB826" s="39"/>
      <c r="BC826" s="39"/>
      <c r="BI826" s="39"/>
      <c r="BJ826" s="39"/>
      <c r="BK826" s="39"/>
      <c r="BQ826" s="39"/>
      <c r="BR826" s="39"/>
      <c r="BS826" s="39"/>
      <c r="BY826" s="39"/>
      <c r="BZ826" s="39"/>
      <c r="CA826" s="39"/>
      <c r="CG826" s="39"/>
      <c r="CH826" s="39"/>
      <c r="CI826" s="39"/>
    </row>
    <row r="827" spans="2:87" ht="15.75" customHeight="1">
      <c r="B827" s="2"/>
      <c r="C827" s="10"/>
      <c r="F827" s="39"/>
      <c r="G827" s="39"/>
      <c r="H827" s="39"/>
      <c r="I827" s="39"/>
      <c r="M827" s="39"/>
      <c r="N827" s="39"/>
      <c r="O827" s="39"/>
      <c r="U827" s="39"/>
      <c r="V827" s="39"/>
      <c r="W827" s="39"/>
      <c r="AC827" s="39"/>
      <c r="AD827" s="39"/>
      <c r="AE827" s="39"/>
      <c r="AK827" s="39"/>
      <c r="AL827" s="39"/>
      <c r="AM827" s="39"/>
      <c r="AS827" s="39"/>
      <c r="AT827" s="39"/>
      <c r="AU827" s="39"/>
      <c r="AZ827" s="40"/>
      <c r="BA827" s="39"/>
      <c r="BB827" s="39"/>
      <c r="BC827" s="39"/>
      <c r="BI827" s="39"/>
      <c r="BJ827" s="39"/>
      <c r="BK827" s="39"/>
      <c r="BQ827" s="39"/>
      <c r="BR827" s="39"/>
      <c r="BS827" s="39"/>
      <c r="BY827" s="39"/>
      <c r="BZ827" s="39"/>
      <c r="CA827" s="39"/>
      <c r="CG827" s="39"/>
      <c r="CH827" s="39"/>
      <c r="CI827" s="39"/>
    </row>
    <row r="828" spans="2:87" ht="15.75" customHeight="1">
      <c r="B828" s="2"/>
      <c r="C828" s="10"/>
      <c r="F828" s="39"/>
      <c r="G828" s="39"/>
      <c r="H828" s="39"/>
      <c r="I828" s="39"/>
      <c r="M828" s="39"/>
      <c r="N828" s="39"/>
      <c r="O828" s="39"/>
      <c r="U828" s="39"/>
      <c r="V828" s="39"/>
      <c r="W828" s="39"/>
      <c r="AC828" s="39"/>
      <c r="AD828" s="39"/>
      <c r="AE828" s="39"/>
      <c r="AK828" s="39"/>
      <c r="AL828" s="39"/>
      <c r="AM828" s="39"/>
      <c r="AS828" s="39"/>
      <c r="AT828" s="39"/>
      <c r="AU828" s="39"/>
      <c r="AZ828" s="40"/>
      <c r="BA828" s="39"/>
      <c r="BB828" s="39"/>
      <c r="BC828" s="39"/>
      <c r="BI828" s="39"/>
      <c r="BJ828" s="39"/>
      <c r="BK828" s="39"/>
      <c r="BQ828" s="39"/>
      <c r="BR828" s="39"/>
      <c r="BS828" s="39"/>
      <c r="BY828" s="39"/>
      <c r="BZ828" s="39"/>
      <c r="CA828" s="39"/>
      <c r="CG828" s="39"/>
      <c r="CH828" s="39"/>
      <c r="CI828" s="39"/>
    </row>
    <row r="829" spans="2:87" ht="15.75" customHeight="1">
      <c r="B829" s="2"/>
      <c r="C829" s="10"/>
      <c r="F829" s="39"/>
      <c r="G829" s="39"/>
      <c r="H829" s="39"/>
      <c r="I829" s="39"/>
      <c r="M829" s="39"/>
      <c r="N829" s="39"/>
      <c r="O829" s="39"/>
      <c r="U829" s="39"/>
      <c r="V829" s="39"/>
      <c r="W829" s="39"/>
      <c r="AC829" s="39"/>
      <c r="AD829" s="39"/>
      <c r="AE829" s="39"/>
      <c r="AK829" s="39"/>
      <c r="AL829" s="39"/>
      <c r="AM829" s="39"/>
      <c r="AS829" s="39"/>
      <c r="AT829" s="39"/>
      <c r="AU829" s="39"/>
      <c r="AZ829" s="40"/>
      <c r="BA829" s="39"/>
      <c r="BB829" s="39"/>
      <c r="BC829" s="39"/>
      <c r="BI829" s="39"/>
      <c r="BJ829" s="39"/>
      <c r="BK829" s="39"/>
      <c r="BQ829" s="39"/>
      <c r="BR829" s="39"/>
      <c r="BS829" s="39"/>
      <c r="BY829" s="39"/>
      <c r="BZ829" s="39"/>
      <c r="CA829" s="39"/>
      <c r="CG829" s="39"/>
      <c r="CH829" s="39"/>
      <c r="CI829" s="39"/>
    </row>
    <row r="830" spans="2:87" ht="15.75" customHeight="1">
      <c r="B830" s="2"/>
      <c r="C830" s="10"/>
      <c r="F830" s="39"/>
      <c r="G830" s="39"/>
      <c r="H830" s="39"/>
      <c r="I830" s="39"/>
      <c r="M830" s="39"/>
      <c r="N830" s="39"/>
      <c r="O830" s="39"/>
      <c r="U830" s="39"/>
      <c r="V830" s="39"/>
      <c r="W830" s="39"/>
      <c r="AC830" s="39"/>
      <c r="AD830" s="39"/>
      <c r="AE830" s="39"/>
      <c r="AK830" s="39"/>
      <c r="AL830" s="39"/>
      <c r="AM830" s="39"/>
      <c r="AS830" s="39"/>
      <c r="AT830" s="39"/>
      <c r="AU830" s="39"/>
      <c r="AZ830" s="40"/>
      <c r="BA830" s="39"/>
      <c r="BB830" s="39"/>
      <c r="BC830" s="39"/>
      <c r="BI830" s="39"/>
      <c r="BJ830" s="39"/>
      <c r="BK830" s="39"/>
      <c r="BQ830" s="39"/>
      <c r="BR830" s="39"/>
      <c r="BS830" s="39"/>
      <c r="BY830" s="39"/>
      <c r="BZ830" s="39"/>
      <c r="CA830" s="39"/>
      <c r="CG830" s="39"/>
      <c r="CH830" s="39"/>
      <c r="CI830" s="39"/>
    </row>
    <row r="831" spans="2:87" ht="15.75" customHeight="1">
      <c r="B831" s="2"/>
      <c r="C831" s="10"/>
      <c r="F831" s="39"/>
      <c r="G831" s="39"/>
      <c r="H831" s="39"/>
      <c r="I831" s="39"/>
      <c r="M831" s="39"/>
      <c r="N831" s="39"/>
      <c r="O831" s="39"/>
      <c r="U831" s="39"/>
      <c r="V831" s="39"/>
      <c r="W831" s="39"/>
      <c r="AC831" s="39"/>
      <c r="AD831" s="39"/>
      <c r="AE831" s="39"/>
      <c r="AK831" s="39"/>
      <c r="AL831" s="39"/>
      <c r="AM831" s="39"/>
      <c r="AS831" s="39"/>
      <c r="AT831" s="39"/>
      <c r="AU831" s="39"/>
      <c r="AZ831" s="40"/>
      <c r="BA831" s="39"/>
      <c r="BB831" s="39"/>
      <c r="BC831" s="39"/>
      <c r="BI831" s="39"/>
      <c r="BJ831" s="39"/>
      <c r="BK831" s="39"/>
      <c r="BQ831" s="39"/>
      <c r="BR831" s="39"/>
      <c r="BS831" s="39"/>
      <c r="BY831" s="39"/>
      <c r="BZ831" s="39"/>
      <c r="CA831" s="39"/>
      <c r="CG831" s="39"/>
      <c r="CH831" s="39"/>
      <c r="CI831" s="39"/>
    </row>
    <row r="832" spans="2:87" ht="15.75" customHeight="1">
      <c r="B832" s="2"/>
      <c r="C832" s="10"/>
      <c r="F832" s="39"/>
      <c r="G832" s="39"/>
      <c r="H832" s="39"/>
      <c r="I832" s="39"/>
      <c r="M832" s="39"/>
      <c r="N832" s="39"/>
      <c r="O832" s="39"/>
      <c r="U832" s="39"/>
      <c r="V832" s="39"/>
      <c r="W832" s="39"/>
      <c r="AC832" s="39"/>
      <c r="AD832" s="39"/>
      <c r="AE832" s="39"/>
      <c r="AK832" s="39"/>
      <c r="AL832" s="39"/>
      <c r="AM832" s="39"/>
      <c r="AS832" s="39"/>
      <c r="AT832" s="39"/>
      <c r="AU832" s="39"/>
      <c r="AZ832" s="40"/>
      <c r="BA832" s="39"/>
      <c r="BB832" s="39"/>
      <c r="BC832" s="39"/>
      <c r="BI832" s="39"/>
      <c r="BJ832" s="39"/>
      <c r="BK832" s="39"/>
      <c r="BQ832" s="39"/>
      <c r="BR832" s="39"/>
      <c r="BS832" s="39"/>
      <c r="BY832" s="39"/>
      <c r="BZ832" s="39"/>
      <c r="CA832" s="39"/>
      <c r="CG832" s="39"/>
      <c r="CH832" s="39"/>
      <c r="CI832" s="39"/>
    </row>
    <row r="833" spans="2:87" ht="15.75" customHeight="1">
      <c r="B833" s="2"/>
      <c r="C833" s="10"/>
      <c r="F833" s="39"/>
      <c r="G833" s="39"/>
      <c r="H833" s="39"/>
      <c r="I833" s="39"/>
      <c r="M833" s="39"/>
      <c r="N833" s="39"/>
      <c r="O833" s="39"/>
      <c r="U833" s="39"/>
      <c r="V833" s="39"/>
      <c r="W833" s="39"/>
      <c r="AC833" s="39"/>
      <c r="AD833" s="39"/>
      <c r="AE833" s="39"/>
      <c r="AK833" s="39"/>
      <c r="AL833" s="39"/>
      <c r="AM833" s="39"/>
      <c r="AS833" s="39"/>
      <c r="AT833" s="39"/>
      <c r="AU833" s="39"/>
      <c r="AZ833" s="40"/>
      <c r="BA833" s="39"/>
      <c r="BB833" s="39"/>
      <c r="BC833" s="39"/>
      <c r="BI833" s="39"/>
      <c r="BJ833" s="39"/>
      <c r="BK833" s="39"/>
      <c r="BQ833" s="39"/>
      <c r="BR833" s="39"/>
      <c r="BS833" s="39"/>
      <c r="BY833" s="39"/>
      <c r="BZ833" s="39"/>
      <c r="CA833" s="39"/>
      <c r="CG833" s="39"/>
      <c r="CH833" s="39"/>
      <c r="CI833" s="39"/>
    </row>
    <row r="834" spans="2:87" ht="15.75" customHeight="1">
      <c r="B834" s="2"/>
      <c r="C834" s="10"/>
      <c r="F834" s="39"/>
      <c r="G834" s="39"/>
      <c r="H834" s="39"/>
      <c r="I834" s="39"/>
      <c r="M834" s="39"/>
      <c r="N834" s="39"/>
      <c r="O834" s="39"/>
      <c r="U834" s="39"/>
      <c r="V834" s="39"/>
      <c r="W834" s="39"/>
      <c r="AC834" s="39"/>
      <c r="AD834" s="39"/>
      <c r="AE834" s="39"/>
      <c r="AK834" s="39"/>
      <c r="AL834" s="39"/>
      <c r="AM834" s="39"/>
      <c r="AS834" s="39"/>
      <c r="AT834" s="39"/>
      <c r="AU834" s="39"/>
      <c r="AZ834" s="40"/>
      <c r="BA834" s="39"/>
      <c r="BB834" s="39"/>
      <c r="BC834" s="39"/>
      <c r="BI834" s="39"/>
      <c r="BJ834" s="39"/>
      <c r="BK834" s="39"/>
      <c r="BQ834" s="39"/>
      <c r="BR834" s="39"/>
      <c r="BS834" s="39"/>
      <c r="BY834" s="39"/>
      <c r="BZ834" s="39"/>
      <c r="CA834" s="39"/>
      <c r="CG834" s="39"/>
      <c r="CH834" s="39"/>
      <c r="CI834" s="39"/>
    </row>
    <row r="835" spans="2:87" ht="15.75" customHeight="1">
      <c r="B835" s="2"/>
      <c r="C835" s="10"/>
      <c r="F835" s="39"/>
      <c r="G835" s="39"/>
      <c r="H835" s="39"/>
      <c r="I835" s="39"/>
      <c r="M835" s="39"/>
      <c r="N835" s="39"/>
      <c r="O835" s="39"/>
      <c r="U835" s="39"/>
      <c r="V835" s="39"/>
      <c r="W835" s="39"/>
      <c r="AC835" s="39"/>
      <c r="AD835" s="39"/>
      <c r="AE835" s="39"/>
      <c r="AK835" s="39"/>
      <c r="AL835" s="39"/>
      <c r="AM835" s="39"/>
      <c r="AS835" s="39"/>
      <c r="AT835" s="39"/>
      <c r="AU835" s="39"/>
      <c r="AZ835" s="40"/>
      <c r="BA835" s="39"/>
      <c r="BB835" s="39"/>
      <c r="BC835" s="39"/>
      <c r="BI835" s="39"/>
      <c r="BJ835" s="39"/>
      <c r="BK835" s="39"/>
      <c r="BQ835" s="39"/>
      <c r="BR835" s="39"/>
      <c r="BS835" s="39"/>
      <c r="BY835" s="39"/>
      <c r="BZ835" s="39"/>
      <c r="CA835" s="39"/>
      <c r="CG835" s="39"/>
      <c r="CH835" s="39"/>
      <c r="CI835" s="39"/>
    </row>
    <row r="836" spans="2:87" ht="15.75" customHeight="1">
      <c r="B836" s="2"/>
      <c r="C836" s="10"/>
      <c r="F836" s="39"/>
      <c r="G836" s="39"/>
      <c r="H836" s="39"/>
      <c r="I836" s="39"/>
      <c r="M836" s="39"/>
      <c r="N836" s="39"/>
      <c r="O836" s="39"/>
      <c r="U836" s="39"/>
      <c r="V836" s="39"/>
      <c r="W836" s="39"/>
      <c r="AC836" s="39"/>
      <c r="AD836" s="39"/>
      <c r="AE836" s="39"/>
      <c r="AK836" s="39"/>
      <c r="AL836" s="39"/>
      <c r="AM836" s="39"/>
      <c r="AS836" s="39"/>
      <c r="AT836" s="39"/>
      <c r="AU836" s="39"/>
      <c r="AZ836" s="40"/>
      <c r="BA836" s="39"/>
      <c r="BB836" s="39"/>
      <c r="BC836" s="39"/>
      <c r="BI836" s="39"/>
      <c r="BJ836" s="39"/>
      <c r="BK836" s="39"/>
      <c r="BQ836" s="39"/>
      <c r="BR836" s="39"/>
      <c r="BS836" s="39"/>
      <c r="BY836" s="39"/>
      <c r="BZ836" s="39"/>
      <c r="CA836" s="39"/>
      <c r="CG836" s="39"/>
      <c r="CH836" s="39"/>
      <c r="CI836" s="39"/>
    </row>
    <row r="837" spans="2:87" ht="15.75" customHeight="1">
      <c r="B837" s="2"/>
      <c r="C837" s="10"/>
      <c r="F837" s="39"/>
      <c r="G837" s="39"/>
      <c r="H837" s="39"/>
      <c r="I837" s="39"/>
      <c r="M837" s="39"/>
      <c r="N837" s="39"/>
      <c r="O837" s="39"/>
      <c r="U837" s="39"/>
      <c r="V837" s="39"/>
      <c r="W837" s="39"/>
      <c r="AC837" s="39"/>
      <c r="AD837" s="39"/>
      <c r="AE837" s="39"/>
      <c r="AK837" s="39"/>
      <c r="AL837" s="39"/>
      <c r="AM837" s="39"/>
      <c r="AS837" s="39"/>
      <c r="AT837" s="39"/>
      <c r="AU837" s="39"/>
      <c r="AZ837" s="40"/>
      <c r="BA837" s="39"/>
      <c r="BB837" s="39"/>
      <c r="BC837" s="39"/>
      <c r="BI837" s="39"/>
      <c r="BJ837" s="39"/>
      <c r="BK837" s="39"/>
      <c r="BQ837" s="39"/>
      <c r="BR837" s="39"/>
      <c r="BS837" s="39"/>
      <c r="BY837" s="39"/>
      <c r="BZ837" s="39"/>
      <c r="CA837" s="39"/>
      <c r="CG837" s="39"/>
      <c r="CH837" s="39"/>
      <c r="CI837" s="39"/>
    </row>
    <row r="838" spans="2:87" ht="15.75" customHeight="1">
      <c r="B838" s="2"/>
      <c r="C838" s="10"/>
      <c r="F838" s="39"/>
      <c r="G838" s="39"/>
      <c r="H838" s="39"/>
      <c r="I838" s="39"/>
      <c r="M838" s="39"/>
      <c r="N838" s="39"/>
      <c r="O838" s="39"/>
      <c r="U838" s="39"/>
      <c r="V838" s="39"/>
      <c r="W838" s="39"/>
      <c r="AC838" s="39"/>
      <c r="AD838" s="39"/>
      <c r="AE838" s="39"/>
      <c r="AK838" s="39"/>
      <c r="AL838" s="39"/>
      <c r="AM838" s="39"/>
      <c r="AS838" s="39"/>
      <c r="AT838" s="39"/>
      <c r="AU838" s="39"/>
      <c r="AZ838" s="40"/>
      <c r="BA838" s="39"/>
      <c r="BB838" s="39"/>
      <c r="BC838" s="39"/>
      <c r="BI838" s="39"/>
      <c r="BJ838" s="39"/>
      <c r="BK838" s="39"/>
      <c r="BQ838" s="39"/>
      <c r="BR838" s="39"/>
      <c r="BS838" s="39"/>
      <c r="BY838" s="39"/>
      <c r="BZ838" s="39"/>
      <c r="CA838" s="39"/>
      <c r="CG838" s="39"/>
      <c r="CH838" s="39"/>
      <c r="CI838" s="39"/>
    </row>
    <row r="839" spans="2:87" ht="15.75" customHeight="1">
      <c r="B839" s="2"/>
      <c r="C839" s="10"/>
      <c r="F839" s="39"/>
      <c r="G839" s="39"/>
      <c r="H839" s="39"/>
      <c r="I839" s="39"/>
      <c r="M839" s="39"/>
      <c r="N839" s="39"/>
      <c r="O839" s="39"/>
      <c r="U839" s="39"/>
      <c r="V839" s="39"/>
      <c r="W839" s="39"/>
      <c r="AC839" s="39"/>
      <c r="AD839" s="39"/>
      <c r="AE839" s="39"/>
      <c r="AK839" s="39"/>
      <c r="AL839" s="39"/>
      <c r="AM839" s="39"/>
      <c r="AS839" s="39"/>
      <c r="AT839" s="39"/>
      <c r="AU839" s="39"/>
      <c r="AZ839" s="40"/>
      <c r="BA839" s="39"/>
      <c r="BB839" s="39"/>
      <c r="BC839" s="39"/>
      <c r="BI839" s="39"/>
      <c r="BJ839" s="39"/>
      <c r="BK839" s="39"/>
      <c r="BQ839" s="39"/>
      <c r="BR839" s="39"/>
      <c r="BS839" s="39"/>
      <c r="BY839" s="39"/>
      <c r="BZ839" s="39"/>
      <c r="CA839" s="39"/>
      <c r="CG839" s="39"/>
      <c r="CH839" s="39"/>
      <c r="CI839" s="39"/>
    </row>
    <row r="840" spans="2:87" ht="15.75" customHeight="1">
      <c r="B840" s="2"/>
      <c r="C840" s="10"/>
      <c r="F840" s="39"/>
      <c r="G840" s="39"/>
      <c r="H840" s="39"/>
      <c r="I840" s="39"/>
      <c r="M840" s="39"/>
      <c r="N840" s="39"/>
      <c r="O840" s="39"/>
      <c r="U840" s="39"/>
      <c r="V840" s="39"/>
      <c r="W840" s="39"/>
      <c r="AC840" s="39"/>
      <c r="AD840" s="39"/>
      <c r="AE840" s="39"/>
      <c r="AK840" s="39"/>
      <c r="AL840" s="39"/>
      <c r="AM840" s="39"/>
      <c r="AS840" s="39"/>
      <c r="AT840" s="39"/>
      <c r="AU840" s="39"/>
      <c r="AZ840" s="40"/>
      <c r="BA840" s="39"/>
      <c r="BB840" s="39"/>
      <c r="BC840" s="39"/>
      <c r="BI840" s="39"/>
      <c r="BJ840" s="39"/>
      <c r="BK840" s="39"/>
      <c r="BQ840" s="39"/>
      <c r="BR840" s="39"/>
      <c r="BS840" s="39"/>
      <c r="BY840" s="39"/>
      <c r="BZ840" s="39"/>
      <c r="CA840" s="39"/>
      <c r="CG840" s="39"/>
      <c r="CH840" s="39"/>
      <c r="CI840" s="39"/>
    </row>
    <row r="841" spans="2:87" ht="15.75" customHeight="1">
      <c r="B841" s="2"/>
      <c r="C841" s="10"/>
      <c r="F841" s="39"/>
      <c r="G841" s="39"/>
      <c r="H841" s="39"/>
      <c r="I841" s="39"/>
      <c r="M841" s="39"/>
      <c r="N841" s="39"/>
      <c r="O841" s="39"/>
      <c r="U841" s="39"/>
      <c r="V841" s="39"/>
      <c r="W841" s="39"/>
      <c r="AC841" s="39"/>
      <c r="AD841" s="39"/>
      <c r="AE841" s="39"/>
      <c r="AK841" s="39"/>
      <c r="AL841" s="39"/>
      <c r="AM841" s="39"/>
      <c r="AS841" s="39"/>
      <c r="AT841" s="39"/>
      <c r="AU841" s="39"/>
      <c r="AZ841" s="40"/>
      <c r="BA841" s="39"/>
      <c r="BB841" s="39"/>
      <c r="BC841" s="39"/>
      <c r="BI841" s="39"/>
      <c r="BJ841" s="39"/>
      <c r="BK841" s="39"/>
      <c r="BQ841" s="39"/>
      <c r="BR841" s="39"/>
      <c r="BS841" s="39"/>
      <c r="BY841" s="39"/>
      <c r="BZ841" s="39"/>
      <c r="CA841" s="39"/>
      <c r="CG841" s="39"/>
      <c r="CH841" s="39"/>
      <c r="CI841" s="39"/>
    </row>
    <row r="842" spans="2:87" ht="15.75" customHeight="1">
      <c r="B842" s="2"/>
      <c r="C842" s="10"/>
      <c r="F842" s="39"/>
      <c r="G842" s="39"/>
      <c r="H842" s="39"/>
      <c r="I842" s="39"/>
      <c r="M842" s="39"/>
      <c r="N842" s="39"/>
      <c r="O842" s="39"/>
      <c r="U842" s="39"/>
      <c r="V842" s="39"/>
      <c r="W842" s="39"/>
      <c r="AC842" s="39"/>
      <c r="AD842" s="39"/>
      <c r="AE842" s="39"/>
      <c r="AK842" s="39"/>
      <c r="AL842" s="39"/>
      <c r="AM842" s="39"/>
      <c r="AS842" s="39"/>
      <c r="AT842" s="39"/>
      <c r="AU842" s="39"/>
      <c r="AZ842" s="40"/>
      <c r="BA842" s="39"/>
      <c r="BB842" s="39"/>
      <c r="BC842" s="39"/>
      <c r="BI842" s="39"/>
      <c r="BJ842" s="39"/>
      <c r="BK842" s="39"/>
      <c r="BQ842" s="39"/>
      <c r="BR842" s="39"/>
      <c r="BS842" s="39"/>
      <c r="BY842" s="39"/>
      <c r="BZ842" s="39"/>
      <c r="CA842" s="39"/>
      <c r="CG842" s="39"/>
      <c r="CH842" s="39"/>
      <c r="CI842" s="39"/>
    </row>
    <row r="843" spans="2:87" ht="15.75" customHeight="1">
      <c r="B843" s="2"/>
      <c r="C843" s="10"/>
      <c r="F843" s="39"/>
      <c r="G843" s="39"/>
      <c r="H843" s="39"/>
      <c r="I843" s="39"/>
      <c r="M843" s="39"/>
      <c r="N843" s="39"/>
      <c r="O843" s="39"/>
      <c r="U843" s="39"/>
      <c r="V843" s="39"/>
      <c r="W843" s="39"/>
      <c r="AC843" s="39"/>
      <c r="AD843" s="39"/>
      <c r="AE843" s="39"/>
      <c r="AK843" s="39"/>
      <c r="AL843" s="39"/>
      <c r="AM843" s="39"/>
      <c r="AS843" s="39"/>
      <c r="AT843" s="39"/>
      <c r="AU843" s="39"/>
      <c r="AZ843" s="40"/>
      <c r="BA843" s="39"/>
      <c r="BB843" s="39"/>
      <c r="BC843" s="39"/>
      <c r="BI843" s="39"/>
      <c r="BJ843" s="39"/>
      <c r="BK843" s="39"/>
      <c r="BQ843" s="39"/>
      <c r="BR843" s="39"/>
      <c r="BS843" s="39"/>
      <c r="BY843" s="39"/>
      <c r="BZ843" s="39"/>
      <c r="CA843" s="39"/>
      <c r="CG843" s="39"/>
      <c r="CH843" s="39"/>
      <c r="CI843" s="39"/>
    </row>
    <row r="844" spans="2:87" ht="15.75" customHeight="1">
      <c r="B844" s="2"/>
      <c r="C844" s="10"/>
      <c r="F844" s="39"/>
      <c r="G844" s="39"/>
      <c r="H844" s="39"/>
      <c r="I844" s="39"/>
      <c r="M844" s="39"/>
      <c r="N844" s="39"/>
      <c r="O844" s="39"/>
      <c r="U844" s="39"/>
      <c r="V844" s="39"/>
      <c r="W844" s="39"/>
      <c r="AC844" s="39"/>
      <c r="AD844" s="39"/>
      <c r="AE844" s="39"/>
      <c r="AK844" s="39"/>
      <c r="AL844" s="39"/>
      <c r="AM844" s="39"/>
      <c r="AS844" s="39"/>
      <c r="AT844" s="39"/>
      <c r="AU844" s="39"/>
      <c r="AZ844" s="40"/>
      <c r="BA844" s="39"/>
      <c r="BB844" s="39"/>
      <c r="BC844" s="39"/>
      <c r="BI844" s="39"/>
      <c r="BJ844" s="39"/>
      <c r="BK844" s="39"/>
      <c r="BQ844" s="39"/>
      <c r="BR844" s="39"/>
      <c r="BS844" s="39"/>
      <c r="BY844" s="39"/>
      <c r="BZ844" s="39"/>
      <c r="CA844" s="39"/>
      <c r="CG844" s="39"/>
      <c r="CH844" s="39"/>
      <c r="CI844" s="39"/>
    </row>
    <row r="845" spans="2:87" ht="15.75" customHeight="1">
      <c r="B845" s="2"/>
      <c r="C845" s="10"/>
      <c r="F845" s="39"/>
      <c r="G845" s="39"/>
      <c r="H845" s="39"/>
      <c r="I845" s="39"/>
      <c r="M845" s="39"/>
      <c r="N845" s="39"/>
      <c r="O845" s="39"/>
      <c r="U845" s="39"/>
      <c r="V845" s="39"/>
      <c r="W845" s="39"/>
      <c r="AC845" s="39"/>
      <c r="AD845" s="39"/>
      <c r="AE845" s="39"/>
      <c r="AK845" s="39"/>
      <c r="AL845" s="39"/>
      <c r="AM845" s="39"/>
      <c r="AS845" s="39"/>
      <c r="AT845" s="39"/>
      <c r="AU845" s="39"/>
      <c r="AZ845" s="40"/>
      <c r="BA845" s="39"/>
      <c r="BB845" s="39"/>
      <c r="BC845" s="39"/>
      <c r="BI845" s="39"/>
      <c r="BJ845" s="39"/>
      <c r="BK845" s="39"/>
      <c r="BQ845" s="39"/>
      <c r="BR845" s="39"/>
      <c r="BS845" s="39"/>
      <c r="BY845" s="39"/>
      <c r="BZ845" s="39"/>
      <c r="CA845" s="39"/>
      <c r="CG845" s="39"/>
      <c r="CH845" s="39"/>
      <c r="CI845" s="39"/>
    </row>
    <row r="846" spans="2:87" ht="15.75" customHeight="1">
      <c r="B846" s="2"/>
      <c r="C846" s="10"/>
      <c r="F846" s="39"/>
      <c r="G846" s="39"/>
      <c r="H846" s="39"/>
      <c r="I846" s="39"/>
      <c r="M846" s="39"/>
      <c r="N846" s="39"/>
      <c r="O846" s="39"/>
      <c r="U846" s="39"/>
      <c r="V846" s="39"/>
      <c r="W846" s="39"/>
      <c r="AC846" s="39"/>
      <c r="AD846" s="39"/>
      <c r="AE846" s="39"/>
      <c r="AK846" s="39"/>
      <c r="AL846" s="39"/>
      <c r="AM846" s="39"/>
      <c r="AS846" s="39"/>
      <c r="AT846" s="39"/>
      <c r="AU846" s="39"/>
      <c r="AZ846" s="40"/>
      <c r="BA846" s="39"/>
      <c r="BB846" s="39"/>
      <c r="BC846" s="39"/>
      <c r="BI846" s="39"/>
      <c r="BJ846" s="39"/>
      <c r="BK846" s="39"/>
      <c r="BQ846" s="39"/>
      <c r="BR846" s="39"/>
      <c r="BS846" s="39"/>
      <c r="BY846" s="39"/>
      <c r="BZ846" s="39"/>
      <c r="CA846" s="39"/>
      <c r="CG846" s="39"/>
      <c r="CH846" s="39"/>
      <c r="CI846" s="39"/>
    </row>
    <row r="847" spans="2:87" ht="15.75" customHeight="1">
      <c r="B847" s="2"/>
      <c r="C847" s="10"/>
      <c r="F847" s="39"/>
      <c r="G847" s="39"/>
      <c r="H847" s="39"/>
      <c r="I847" s="39"/>
      <c r="M847" s="39"/>
      <c r="N847" s="39"/>
      <c r="O847" s="39"/>
      <c r="U847" s="39"/>
      <c r="V847" s="39"/>
      <c r="W847" s="39"/>
      <c r="AC847" s="39"/>
      <c r="AD847" s="39"/>
      <c r="AE847" s="39"/>
      <c r="AK847" s="39"/>
      <c r="AL847" s="39"/>
      <c r="AM847" s="39"/>
      <c r="AS847" s="39"/>
      <c r="AT847" s="39"/>
      <c r="AU847" s="39"/>
      <c r="AZ847" s="40"/>
      <c r="BA847" s="39"/>
      <c r="BB847" s="39"/>
      <c r="BC847" s="39"/>
      <c r="BI847" s="39"/>
      <c r="BJ847" s="39"/>
      <c r="BK847" s="39"/>
      <c r="BQ847" s="39"/>
      <c r="BR847" s="39"/>
      <c r="BS847" s="39"/>
      <c r="BY847" s="39"/>
      <c r="BZ847" s="39"/>
      <c r="CA847" s="39"/>
      <c r="CG847" s="39"/>
      <c r="CH847" s="39"/>
      <c r="CI847" s="39"/>
    </row>
    <row r="848" spans="2:87" ht="15.75" customHeight="1">
      <c r="B848" s="2"/>
      <c r="C848" s="10"/>
      <c r="F848" s="39"/>
      <c r="G848" s="39"/>
      <c r="H848" s="39"/>
      <c r="I848" s="39"/>
      <c r="M848" s="39"/>
      <c r="N848" s="39"/>
      <c r="O848" s="39"/>
      <c r="U848" s="39"/>
      <c r="V848" s="39"/>
      <c r="W848" s="39"/>
      <c r="AC848" s="39"/>
      <c r="AD848" s="39"/>
      <c r="AE848" s="39"/>
      <c r="AK848" s="39"/>
      <c r="AL848" s="39"/>
      <c r="AM848" s="39"/>
      <c r="AS848" s="39"/>
      <c r="AT848" s="39"/>
      <c r="AU848" s="39"/>
      <c r="AZ848" s="40"/>
      <c r="BA848" s="39"/>
      <c r="BB848" s="39"/>
      <c r="BC848" s="39"/>
      <c r="BI848" s="39"/>
      <c r="BJ848" s="39"/>
      <c r="BK848" s="39"/>
      <c r="BQ848" s="39"/>
      <c r="BR848" s="39"/>
      <c r="BS848" s="39"/>
      <c r="BY848" s="39"/>
      <c r="BZ848" s="39"/>
      <c r="CA848" s="39"/>
      <c r="CG848" s="39"/>
      <c r="CH848" s="39"/>
      <c r="CI848" s="39"/>
    </row>
    <row r="849" spans="2:87" ht="15.75" customHeight="1">
      <c r="B849" s="2"/>
      <c r="C849" s="10"/>
      <c r="F849" s="39"/>
      <c r="G849" s="39"/>
      <c r="H849" s="39"/>
      <c r="I849" s="39"/>
      <c r="M849" s="39"/>
      <c r="N849" s="39"/>
      <c r="O849" s="39"/>
      <c r="U849" s="39"/>
      <c r="V849" s="39"/>
      <c r="W849" s="39"/>
      <c r="AC849" s="39"/>
      <c r="AD849" s="39"/>
      <c r="AE849" s="39"/>
      <c r="AK849" s="39"/>
      <c r="AL849" s="39"/>
      <c r="AM849" s="39"/>
      <c r="AS849" s="39"/>
      <c r="AT849" s="39"/>
      <c r="AU849" s="39"/>
      <c r="AZ849" s="40"/>
      <c r="BA849" s="39"/>
      <c r="BB849" s="39"/>
      <c r="BC849" s="39"/>
      <c r="BI849" s="39"/>
      <c r="BJ849" s="39"/>
      <c r="BK849" s="39"/>
      <c r="BQ849" s="39"/>
      <c r="BR849" s="39"/>
      <c r="BS849" s="39"/>
      <c r="BY849" s="39"/>
      <c r="BZ849" s="39"/>
      <c r="CA849" s="39"/>
      <c r="CG849" s="39"/>
      <c r="CH849" s="39"/>
      <c r="CI849" s="39"/>
    </row>
    <row r="850" spans="2:87" ht="15.75" customHeight="1">
      <c r="B850" s="2"/>
      <c r="C850" s="10"/>
      <c r="F850" s="39"/>
      <c r="G850" s="39"/>
      <c r="H850" s="39"/>
      <c r="I850" s="39"/>
      <c r="M850" s="39"/>
      <c r="N850" s="39"/>
      <c r="O850" s="39"/>
      <c r="U850" s="39"/>
      <c r="V850" s="39"/>
      <c r="W850" s="39"/>
      <c r="AC850" s="39"/>
      <c r="AD850" s="39"/>
      <c r="AE850" s="39"/>
      <c r="AK850" s="39"/>
      <c r="AL850" s="39"/>
      <c r="AM850" s="39"/>
      <c r="AS850" s="39"/>
      <c r="AT850" s="39"/>
      <c r="AU850" s="39"/>
      <c r="AZ850" s="40"/>
      <c r="BA850" s="39"/>
      <c r="BB850" s="39"/>
      <c r="BC850" s="39"/>
      <c r="BI850" s="39"/>
      <c r="BJ850" s="39"/>
      <c r="BK850" s="39"/>
      <c r="BQ850" s="39"/>
      <c r="BR850" s="39"/>
      <c r="BS850" s="39"/>
      <c r="BY850" s="39"/>
      <c r="BZ850" s="39"/>
      <c r="CA850" s="39"/>
      <c r="CG850" s="39"/>
      <c r="CH850" s="39"/>
      <c r="CI850" s="39"/>
    </row>
    <row r="851" spans="2:87" ht="15.75" customHeight="1">
      <c r="B851" s="2"/>
      <c r="C851" s="10"/>
      <c r="F851" s="39"/>
      <c r="G851" s="39"/>
      <c r="H851" s="39"/>
      <c r="I851" s="39"/>
      <c r="M851" s="39"/>
      <c r="N851" s="39"/>
      <c r="O851" s="39"/>
      <c r="U851" s="39"/>
      <c r="V851" s="39"/>
      <c r="W851" s="39"/>
      <c r="AC851" s="39"/>
      <c r="AD851" s="39"/>
      <c r="AE851" s="39"/>
      <c r="AK851" s="39"/>
      <c r="AL851" s="39"/>
      <c r="AM851" s="39"/>
      <c r="AS851" s="39"/>
      <c r="AT851" s="39"/>
      <c r="AU851" s="39"/>
      <c r="AZ851" s="40"/>
      <c r="BA851" s="39"/>
      <c r="BB851" s="39"/>
      <c r="BC851" s="39"/>
      <c r="BI851" s="39"/>
      <c r="BJ851" s="39"/>
      <c r="BK851" s="39"/>
      <c r="BQ851" s="39"/>
      <c r="BR851" s="39"/>
      <c r="BS851" s="39"/>
      <c r="BY851" s="39"/>
      <c r="BZ851" s="39"/>
      <c r="CA851" s="39"/>
      <c r="CG851" s="39"/>
      <c r="CH851" s="39"/>
      <c r="CI851" s="39"/>
    </row>
    <row r="852" spans="2:87" ht="15.75" customHeight="1">
      <c r="B852" s="2"/>
      <c r="C852" s="10"/>
      <c r="F852" s="39"/>
      <c r="G852" s="39"/>
      <c r="H852" s="39"/>
      <c r="I852" s="39"/>
      <c r="M852" s="39"/>
      <c r="N852" s="39"/>
      <c r="O852" s="39"/>
      <c r="U852" s="39"/>
      <c r="V852" s="39"/>
      <c r="W852" s="39"/>
      <c r="AC852" s="39"/>
      <c r="AD852" s="39"/>
      <c r="AE852" s="39"/>
      <c r="AK852" s="39"/>
      <c r="AL852" s="39"/>
      <c r="AM852" s="39"/>
      <c r="AS852" s="39"/>
      <c r="AT852" s="39"/>
      <c r="AU852" s="39"/>
      <c r="AZ852" s="40"/>
      <c r="BA852" s="39"/>
      <c r="BB852" s="39"/>
      <c r="BC852" s="39"/>
      <c r="BI852" s="39"/>
      <c r="BJ852" s="39"/>
      <c r="BK852" s="39"/>
      <c r="BQ852" s="39"/>
      <c r="BR852" s="39"/>
      <c r="BS852" s="39"/>
      <c r="BY852" s="39"/>
      <c r="BZ852" s="39"/>
      <c r="CA852" s="39"/>
      <c r="CG852" s="39"/>
      <c r="CH852" s="39"/>
      <c r="CI852" s="39"/>
    </row>
    <row r="853" spans="2:87" ht="15.75" customHeight="1">
      <c r="B853" s="2"/>
      <c r="C853" s="10"/>
      <c r="F853" s="39"/>
      <c r="G853" s="39"/>
      <c r="H853" s="39"/>
      <c r="I853" s="39"/>
      <c r="M853" s="39"/>
      <c r="N853" s="39"/>
      <c r="O853" s="39"/>
      <c r="U853" s="39"/>
      <c r="V853" s="39"/>
      <c r="W853" s="39"/>
      <c r="AC853" s="39"/>
      <c r="AD853" s="39"/>
      <c r="AE853" s="39"/>
      <c r="AK853" s="39"/>
      <c r="AL853" s="39"/>
      <c r="AM853" s="39"/>
      <c r="AS853" s="39"/>
      <c r="AT853" s="39"/>
      <c r="AU853" s="39"/>
      <c r="AZ853" s="40"/>
      <c r="BA853" s="39"/>
      <c r="BB853" s="39"/>
      <c r="BC853" s="39"/>
      <c r="BI853" s="39"/>
      <c r="BJ853" s="39"/>
      <c r="BK853" s="39"/>
      <c r="BQ853" s="39"/>
      <c r="BR853" s="39"/>
      <c r="BS853" s="39"/>
      <c r="BY853" s="39"/>
      <c r="BZ853" s="39"/>
      <c r="CA853" s="39"/>
      <c r="CG853" s="39"/>
      <c r="CH853" s="39"/>
      <c r="CI853" s="39"/>
    </row>
    <row r="854" spans="2:87" ht="15.75" customHeight="1">
      <c r="B854" s="2"/>
      <c r="C854" s="10"/>
      <c r="F854" s="39"/>
      <c r="G854" s="39"/>
      <c r="H854" s="39"/>
      <c r="I854" s="39"/>
      <c r="M854" s="39"/>
      <c r="N854" s="39"/>
      <c r="O854" s="39"/>
      <c r="U854" s="39"/>
      <c r="V854" s="39"/>
      <c r="W854" s="39"/>
      <c r="AC854" s="39"/>
      <c r="AD854" s="39"/>
      <c r="AE854" s="39"/>
      <c r="AK854" s="39"/>
      <c r="AL854" s="39"/>
      <c r="AM854" s="39"/>
      <c r="AS854" s="39"/>
      <c r="AT854" s="39"/>
      <c r="AU854" s="39"/>
      <c r="AZ854" s="40"/>
      <c r="BA854" s="39"/>
      <c r="BB854" s="39"/>
      <c r="BC854" s="39"/>
      <c r="BI854" s="39"/>
      <c r="BJ854" s="39"/>
      <c r="BK854" s="39"/>
      <c r="BQ854" s="39"/>
      <c r="BR854" s="39"/>
      <c r="BS854" s="39"/>
      <c r="BY854" s="39"/>
      <c r="BZ854" s="39"/>
      <c r="CA854" s="39"/>
      <c r="CG854" s="39"/>
      <c r="CH854" s="39"/>
      <c r="CI854" s="39"/>
    </row>
    <row r="855" spans="2:87" ht="15.75" customHeight="1">
      <c r="B855" s="2"/>
      <c r="C855" s="10"/>
      <c r="F855" s="39"/>
      <c r="G855" s="39"/>
      <c r="H855" s="39"/>
      <c r="I855" s="39"/>
      <c r="M855" s="39"/>
      <c r="N855" s="39"/>
      <c r="O855" s="39"/>
      <c r="U855" s="39"/>
      <c r="V855" s="39"/>
      <c r="W855" s="39"/>
      <c r="AC855" s="39"/>
      <c r="AD855" s="39"/>
      <c r="AE855" s="39"/>
      <c r="AK855" s="39"/>
      <c r="AL855" s="39"/>
      <c r="AM855" s="39"/>
      <c r="AS855" s="39"/>
      <c r="AT855" s="39"/>
      <c r="AU855" s="39"/>
      <c r="AZ855" s="40"/>
      <c r="BA855" s="39"/>
      <c r="BB855" s="39"/>
      <c r="BC855" s="39"/>
      <c r="BI855" s="39"/>
      <c r="BJ855" s="39"/>
      <c r="BK855" s="39"/>
      <c r="BQ855" s="39"/>
      <c r="BR855" s="39"/>
      <c r="BS855" s="39"/>
      <c r="BY855" s="39"/>
      <c r="BZ855" s="39"/>
      <c r="CA855" s="39"/>
      <c r="CG855" s="39"/>
      <c r="CH855" s="39"/>
      <c r="CI855" s="39"/>
    </row>
    <row r="856" spans="2:87" ht="15.75" customHeight="1">
      <c r="B856" s="2"/>
      <c r="C856" s="10"/>
      <c r="F856" s="39"/>
      <c r="G856" s="39"/>
      <c r="H856" s="39"/>
      <c r="I856" s="39"/>
      <c r="M856" s="39"/>
      <c r="N856" s="39"/>
      <c r="O856" s="39"/>
      <c r="U856" s="39"/>
      <c r="V856" s="39"/>
      <c r="W856" s="39"/>
      <c r="AC856" s="39"/>
      <c r="AD856" s="39"/>
      <c r="AE856" s="39"/>
      <c r="AK856" s="39"/>
      <c r="AL856" s="39"/>
      <c r="AM856" s="39"/>
      <c r="AS856" s="39"/>
      <c r="AT856" s="39"/>
      <c r="AU856" s="39"/>
      <c r="AZ856" s="40"/>
      <c r="BA856" s="39"/>
      <c r="BB856" s="39"/>
      <c r="BC856" s="39"/>
      <c r="BI856" s="39"/>
      <c r="BJ856" s="39"/>
      <c r="BK856" s="39"/>
      <c r="BQ856" s="39"/>
      <c r="BR856" s="39"/>
      <c r="BS856" s="39"/>
      <c r="BY856" s="39"/>
      <c r="BZ856" s="39"/>
      <c r="CA856" s="39"/>
      <c r="CG856" s="39"/>
      <c r="CH856" s="39"/>
      <c r="CI856" s="39"/>
    </row>
    <row r="857" spans="2:87" ht="15.75" customHeight="1">
      <c r="B857" s="2"/>
      <c r="C857" s="10"/>
      <c r="F857" s="39"/>
      <c r="G857" s="39"/>
      <c r="H857" s="39"/>
      <c r="I857" s="39"/>
      <c r="M857" s="39"/>
      <c r="N857" s="39"/>
      <c r="O857" s="39"/>
      <c r="U857" s="39"/>
      <c r="V857" s="39"/>
      <c r="W857" s="39"/>
      <c r="AC857" s="39"/>
      <c r="AD857" s="39"/>
      <c r="AE857" s="39"/>
      <c r="AK857" s="39"/>
      <c r="AL857" s="39"/>
      <c r="AM857" s="39"/>
      <c r="AS857" s="39"/>
      <c r="AT857" s="39"/>
      <c r="AU857" s="39"/>
      <c r="AZ857" s="40"/>
      <c r="BA857" s="39"/>
      <c r="BB857" s="39"/>
      <c r="BC857" s="39"/>
      <c r="BI857" s="39"/>
      <c r="BJ857" s="39"/>
      <c r="BK857" s="39"/>
      <c r="BQ857" s="39"/>
      <c r="BR857" s="39"/>
      <c r="BS857" s="39"/>
      <c r="BY857" s="39"/>
      <c r="BZ857" s="39"/>
      <c r="CA857" s="39"/>
      <c r="CG857" s="39"/>
      <c r="CH857" s="39"/>
      <c r="CI857" s="39"/>
    </row>
    <row r="858" spans="2:87" ht="15.75" customHeight="1">
      <c r="B858" s="2"/>
      <c r="C858" s="10"/>
      <c r="F858" s="39"/>
      <c r="G858" s="39"/>
      <c r="H858" s="39"/>
      <c r="I858" s="39"/>
      <c r="M858" s="39"/>
      <c r="N858" s="39"/>
      <c r="O858" s="39"/>
      <c r="U858" s="39"/>
      <c r="V858" s="39"/>
      <c r="W858" s="39"/>
      <c r="AC858" s="39"/>
      <c r="AD858" s="39"/>
      <c r="AE858" s="39"/>
      <c r="AK858" s="39"/>
      <c r="AL858" s="39"/>
      <c r="AM858" s="39"/>
      <c r="AS858" s="39"/>
      <c r="AT858" s="39"/>
      <c r="AU858" s="39"/>
      <c r="AZ858" s="40"/>
      <c r="BA858" s="39"/>
      <c r="BB858" s="39"/>
      <c r="BC858" s="39"/>
      <c r="BI858" s="39"/>
      <c r="BJ858" s="39"/>
      <c r="BK858" s="39"/>
      <c r="BQ858" s="39"/>
      <c r="BR858" s="39"/>
      <c r="BS858" s="39"/>
      <c r="BY858" s="39"/>
      <c r="BZ858" s="39"/>
      <c r="CA858" s="39"/>
      <c r="CG858" s="39"/>
      <c r="CH858" s="39"/>
      <c r="CI858" s="39"/>
    </row>
    <row r="859" spans="2:87" ht="15.75" customHeight="1">
      <c r="B859" s="2"/>
      <c r="C859" s="10"/>
      <c r="F859" s="39"/>
      <c r="G859" s="39"/>
      <c r="H859" s="39"/>
      <c r="I859" s="39"/>
      <c r="M859" s="39"/>
      <c r="N859" s="39"/>
      <c r="O859" s="39"/>
      <c r="U859" s="39"/>
      <c r="V859" s="39"/>
      <c r="W859" s="39"/>
      <c r="AC859" s="39"/>
      <c r="AD859" s="39"/>
      <c r="AE859" s="39"/>
      <c r="AK859" s="39"/>
      <c r="AL859" s="39"/>
      <c r="AM859" s="39"/>
      <c r="AS859" s="39"/>
      <c r="AT859" s="39"/>
      <c r="AU859" s="39"/>
      <c r="AZ859" s="40"/>
      <c r="BA859" s="39"/>
      <c r="BB859" s="39"/>
      <c r="BC859" s="39"/>
      <c r="BI859" s="39"/>
      <c r="BJ859" s="39"/>
      <c r="BK859" s="39"/>
      <c r="BQ859" s="39"/>
      <c r="BR859" s="39"/>
      <c r="BS859" s="39"/>
      <c r="BY859" s="39"/>
      <c r="BZ859" s="39"/>
      <c r="CA859" s="39"/>
      <c r="CG859" s="39"/>
      <c r="CH859" s="39"/>
      <c r="CI859" s="39"/>
    </row>
    <row r="860" spans="2:87" ht="15.75" customHeight="1">
      <c r="B860" s="2"/>
      <c r="C860" s="10"/>
      <c r="F860" s="39"/>
      <c r="G860" s="39"/>
      <c r="H860" s="39"/>
      <c r="I860" s="39"/>
      <c r="M860" s="39"/>
      <c r="N860" s="39"/>
      <c r="O860" s="39"/>
      <c r="U860" s="39"/>
      <c r="V860" s="39"/>
      <c r="W860" s="39"/>
      <c r="AC860" s="39"/>
      <c r="AD860" s="39"/>
      <c r="AE860" s="39"/>
      <c r="AK860" s="39"/>
      <c r="AL860" s="39"/>
      <c r="AM860" s="39"/>
      <c r="AS860" s="39"/>
      <c r="AT860" s="39"/>
      <c r="AU860" s="39"/>
      <c r="AZ860" s="40"/>
      <c r="BA860" s="39"/>
      <c r="BB860" s="39"/>
      <c r="BC860" s="39"/>
      <c r="BI860" s="39"/>
      <c r="BJ860" s="39"/>
      <c r="BK860" s="39"/>
      <c r="BQ860" s="39"/>
      <c r="BR860" s="39"/>
      <c r="BS860" s="39"/>
      <c r="BY860" s="39"/>
      <c r="BZ860" s="39"/>
      <c r="CA860" s="39"/>
      <c r="CG860" s="39"/>
      <c r="CH860" s="39"/>
      <c r="CI860" s="39"/>
    </row>
    <row r="861" spans="2:87" ht="15.75" customHeight="1">
      <c r="B861" s="2"/>
      <c r="C861" s="10"/>
      <c r="F861" s="39"/>
      <c r="G861" s="39"/>
      <c r="H861" s="39"/>
      <c r="I861" s="39"/>
      <c r="M861" s="39"/>
      <c r="N861" s="39"/>
      <c r="O861" s="39"/>
      <c r="U861" s="39"/>
      <c r="V861" s="39"/>
      <c r="W861" s="39"/>
      <c r="AC861" s="39"/>
      <c r="AD861" s="39"/>
      <c r="AE861" s="39"/>
      <c r="AK861" s="39"/>
      <c r="AL861" s="39"/>
      <c r="AM861" s="39"/>
      <c r="AS861" s="39"/>
      <c r="AT861" s="39"/>
      <c r="AU861" s="39"/>
      <c r="AZ861" s="40"/>
      <c r="BA861" s="39"/>
      <c r="BB861" s="39"/>
      <c r="BC861" s="39"/>
      <c r="BI861" s="39"/>
      <c r="BJ861" s="39"/>
      <c r="BK861" s="39"/>
      <c r="BQ861" s="39"/>
      <c r="BR861" s="39"/>
      <c r="BS861" s="39"/>
      <c r="BY861" s="39"/>
      <c r="BZ861" s="39"/>
      <c r="CA861" s="39"/>
      <c r="CG861" s="39"/>
      <c r="CH861" s="39"/>
      <c r="CI861" s="39"/>
    </row>
    <row r="862" spans="2:87" ht="15.75" customHeight="1">
      <c r="B862" s="2"/>
      <c r="C862" s="10"/>
      <c r="F862" s="39"/>
      <c r="G862" s="39"/>
      <c r="H862" s="39"/>
      <c r="I862" s="39"/>
      <c r="M862" s="39"/>
      <c r="N862" s="39"/>
      <c r="O862" s="39"/>
      <c r="U862" s="39"/>
      <c r="V862" s="39"/>
      <c r="W862" s="39"/>
      <c r="AC862" s="39"/>
      <c r="AD862" s="39"/>
      <c r="AE862" s="39"/>
      <c r="AK862" s="39"/>
      <c r="AL862" s="39"/>
      <c r="AM862" s="39"/>
      <c r="AS862" s="39"/>
      <c r="AT862" s="39"/>
      <c r="AU862" s="39"/>
      <c r="AZ862" s="40"/>
      <c r="BA862" s="39"/>
      <c r="BB862" s="39"/>
      <c r="BC862" s="39"/>
      <c r="BI862" s="39"/>
      <c r="BJ862" s="39"/>
      <c r="BK862" s="39"/>
      <c r="BQ862" s="39"/>
      <c r="BR862" s="39"/>
      <c r="BS862" s="39"/>
      <c r="BY862" s="39"/>
      <c r="BZ862" s="39"/>
      <c r="CA862" s="39"/>
      <c r="CG862" s="39"/>
      <c r="CH862" s="39"/>
      <c r="CI862" s="39"/>
    </row>
    <row r="863" spans="2:87" ht="15.75" customHeight="1">
      <c r="B863" s="2"/>
      <c r="C863" s="10"/>
      <c r="F863" s="39"/>
      <c r="G863" s="39"/>
      <c r="H863" s="39"/>
      <c r="I863" s="39"/>
      <c r="M863" s="39"/>
      <c r="N863" s="39"/>
      <c r="O863" s="39"/>
      <c r="U863" s="39"/>
      <c r="V863" s="39"/>
      <c r="W863" s="39"/>
      <c r="AC863" s="39"/>
      <c r="AD863" s="39"/>
      <c r="AE863" s="39"/>
      <c r="AK863" s="39"/>
      <c r="AL863" s="39"/>
      <c r="AM863" s="39"/>
      <c r="AS863" s="39"/>
      <c r="AT863" s="39"/>
      <c r="AU863" s="39"/>
      <c r="AZ863" s="40"/>
      <c r="BA863" s="39"/>
      <c r="BB863" s="39"/>
      <c r="BC863" s="39"/>
      <c r="BI863" s="39"/>
      <c r="BJ863" s="39"/>
      <c r="BK863" s="39"/>
      <c r="BQ863" s="39"/>
      <c r="BR863" s="39"/>
      <c r="BS863" s="39"/>
      <c r="BY863" s="39"/>
      <c r="BZ863" s="39"/>
      <c r="CA863" s="39"/>
      <c r="CG863" s="39"/>
      <c r="CH863" s="39"/>
      <c r="CI863" s="39"/>
    </row>
    <row r="864" spans="2:87" ht="15.75" customHeight="1">
      <c r="B864" s="2"/>
      <c r="C864" s="10"/>
      <c r="F864" s="39"/>
      <c r="G864" s="39"/>
      <c r="H864" s="39"/>
      <c r="I864" s="39"/>
      <c r="M864" s="39"/>
      <c r="N864" s="39"/>
      <c r="O864" s="39"/>
      <c r="U864" s="39"/>
      <c r="V864" s="39"/>
      <c r="W864" s="39"/>
      <c r="AC864" s="39"/>
      <c r="AD864" s="39"/>
      <c r="AE864" s="39"/>
      <c r="AK864" s="39"/>
      <c r="AL864" s="39"/>
      <c r="AM864" s="39"/>
      <c r="AS864" s="39"/>
      <c r="AT864" s="39"/>
      <c r="AU864" s="39"/>
      <c r="AZ864" s="40"/>
      <c r="BA864" s="39"/>
      <c r="BB864" s="39"/>
      <c r="BC864" s="39"/>
      <c r="BI864" s="39"/>
      <c r="BJ864" s="39"/>
      <c r="BK864" s="39"/>
      <c r="BQ864" s="39"/>
      <c r="BR864" s="39"/>
      <c r="BS864" s="39"/>
      <c r="BY864" s="39"/>
      <c r="BZ864" s="39"/>
      <c r="CA864" s="39"/>
      <c r="CG864" s="39"/>
      <c r="CH864" s="39"/>
      <c r="CI864" s="39"/>
    </row>
    <row r="865" spans="2:87" ht="15.75" customHeight="1">
      <c r="B865" s="2"/>
      <c r="C865" s="10"/>
      <c r="F865" s="39"/>
      <c r="G865" s="39"/>
      <c r="H865" s="39"/>
      <c r="I865" s="39"/>
      <c r="M865" s="39"/>
      <c r="N865" s="39"/>
      <c r="O865" s="39"/>
      <c r="U865" s="39"/>
      <c r="V865" s="39"/>
      <c r="W865" s="39"/>
      <c r="AC865" s="39"/>
      <c r="AD865" s="39"/>
      <c r="AE865" s="39"/>
      <c r="AK865" s="39"/>
      <c r="AL865" s="39"/>
      <c r="AM865" s="39"/>
      <c r="AS865" s="39"/>
      <c r="AT865" s="39"/>
      <c r="AU865" s="39"/>
      <c r="AZ865" s="40"/>
      <c r="BA865" s="39"/>
      <c r="BB865" s="39"/>
      <c r="BC865" s="39"/>
      <c r="BI865" s="39"/>
      <c r="BJ865" s="39"/>
      <c r="BK865" s="39"/>
      <c r="BQ865" s="39"/>
      <c r="BR865" s="39"/>
      <c r="BS865" s="39"/>
      <c r="BY865" s="39"/>
      <c r="BZ865" s="39"/>
      <c r="CA865" s="39"/>
      <c r="CG865" s="39"/>
      <c r="CH865" s="39"/>
      <c r="CI865" s="39"/>
    </row>
    <row r="866" spans="2:87" ht="15.75" customHeight="1">
      <c r="B866" s="2"/>
      <c r="C866" s="10"/>
      <c r="F866" s="39"/>
      <c r="G866" s="39"/>
      <c r="H866" s="39"/>
      <c r="I866" s="39"/>
      <c r="M866" s="39"/>
      <c r="N866" s="39"/>
      <c r="O866" s="39"/>
      <c r="U866" s="39"/>
      <c r="V866" s="39"/>
      <c r="W866" s="39"/>
      <c r="AC866" s="39"/>
      <c r="AD866" s="39"/>
      <c r="AE866" s="39"/>
      <c r="AK866" s="39"/>
      <c r="AL866" s="39"/>
      <c r="AM866" s="39"/>
      <c r="AS866" s="39"/>
      <c r="AT866" s="39"/>
      <c r="AU866" s="39"/>
      <c r="AZ866" s="40"/>
      <c r="BA866" s="39"/>
      <c r="BB866" s="39"/>
      <c r="BC866" s="39"/>
      <c r="BI866" s="39"/>
      <c r="BJ866" s="39"/>
      <c r="BK866" s="39"/>
      <c r="BQ866" s="39"/>
      <c r="BR866" s="39"/>
      <c r="BS866" s="39"/>
      <c r="BY866" s="39"/>
      <c r="BZ866" s="39"/>
      <c r="CA866" s="39"/>
      <c r="CG866" s="39"/>
      <c r="CH866" s="39"/>
      <c r="CI866" s="39"/>
    </row>
    <row r="867" spans="2:87" ht="15.75" customHeight="1">
      <c r="B867" s="2"/>
      <c r="C867" s="10"/>
      <c r="F867" s="39"/>
      <c r="G867" s="39"/>
      <c r="H867" s="39"/>
      <c r="I867" s="39"/>
      <c r="M867" s="39"/>
      <c r="N867" s="39"/>
      <c r="O867" s="39"/>
      <c r="U867" s="39"/>
      <c r="V867" s="39"/>
      <c r="W867" s="39"/>
      <c r="AC867" s="39"/>
      <c r="AD867" s="39"/>
      <c r="AE867" s="39"/>
      <c r="AK867" s="39"/>
      <c r="AL867" s="39"/>
      <c r="AM867" s="39"/>
      <c r="AS867" s="39"/>
      <c r="AT867" s="39"/>
      <c r="AU867" s="39"/>
      <c r="AZ867" s="40"/>
      <c r="BA867" s="39"/>
      <c r="BB867" s="39"/>
      <c r="BC867" s="39"/>
      <c r="BI867" s="39"/>
      <c r="BJ867" s="39"/>
      <c r="BK867" s="39"/>
      <c r="BQ867" s="39"/>
      <c r="BR867" s="39"/>
      <c r="BS867" s="39"/>
      <c r="BY867" s="39"/>
      <c r="BZ867" s="39"/>
      <c r="CA867" s="39"/>
      <c r="CG867" s="39"/>
      <c r="CH867" s="39"/>
      <c r="CI867" s="39"/>
    </row>
    <row r="868" spans="2:87" ht="15.75" customHeight="1">
      <c r="B868" s="2"/>
      <c r="C868" s="10"/>
      <c r="F868" s="39"/>
      <c r="G868" s="39"/>
      <c r="H868" s="39"/>
      <c r="I868" s="39"/>
      <c r="M868" s="39"/>
      <c r="N868" s="39"/>
      <c r="O868" s="39"/>
      <c r="U868" s="39"/>
      <c r="V868" s="39"/>
      <c r="W868" s="39"/>
      <c r="AC868" s="39"/>
      <c r="AD868" s="39"/>
      <c r="AE868" s="39"/>
      <c r="AK868" s="39"/>
      <c r="AL868" s="39"/>
      <c r="AM868" s="39"/>
      <c r="AS868" s="39"/>
      <c r="AT868" s="39"/>
      <c r="AU868" s="39"/>
      <c r="AZ868" s="40"/>
      <c r="BA868" s="39"/>
      <c r="BB868" s="39"/>
      <c r="BC868" s="39"/>
      <c r="BI868" s="39"/>
      <c r="BJ868" s="39"/>
      <c r="BK868" s="39"/>
      <c r="BQ868" s="39"/>
      <c r="BR868" s="39"/>
      <c r="BS868" s="39"/>
      <c r="BY868" s="39"/>
      <c r="BZ868" s="39"/>
      <c r="CA868" s="39"/>
      <c r="CG868" s="39"/>
      <c r="CH868" s="39"/>
      <c r="CI868" s="39"/>
    </row>
    <row r="869" spans="2:87" ht="15.75" customHeight="1">
      <c r="B869" s="2"/>
      <c r="C869" s="10"/>
      <c r="F869" s="39"/>
      <c r="G869" s="39"/>
      <c r="H869" s="39"/>
      <c r="I869" s="39"/>
      <c r="M869" s="39"/>
      <c r="N869" s="39"/>
      <c r="O869" s="39"/>
      <c r="U869" s="39"/>
      <c r="V869" s="39"/>
      <c r="W869" s="39"/>
      <c r="AC869" s="39"/>
      <c r="AD869" s="39"/>
      <c r="AE869" s="39"/>
      <c r="AK869" s="39"/>
      <c r="AL869" s="39"/>
      <c r="AM869" s="39"/>
      <c r="AS869" s="39"/>
      <c r="AT869" s="39"/>
      <c r="AU869" s="39"/>
      <c r="AZ869" s="40"/>
      <c r="BA869" s="39"/>
      <c r="BB869" s="39"/>
      <c r="BC869" s="39"/>
      <c r="BI869" s="39"/>
      <c r="BJ869" s="39"/>
      <c r="BK869" s="39"/>
      <c r="BQ869" s="39"/>
      <c r="BR869" s="39"/>
      <c r="BS869" s="39"/>
      <c r="BY869" s="39"/>
      <c r="BZ869" s="39"/>
      <c r="CA869" s="39"/>
      <c r="CG869" s="39"/>
      <c r="CH869" s="39"/>
      <c r="CI869" s="39"/>
    </row>
    <row r="870" spans="2:87" ht="15.75" customHeight="1">
      <c r="B870" s="2"/>
      <c r="C870" s="10"/>
      <c r="F870" s="39"/>
      <c r="G870" s="39"/>
      <c r="H870" s="39"/>
      <c r="I870" s="39"/>
      <c r="M870" s="39"/>
      <c r="N870" s="39"/>
      <c r="O870" s="39"/>
      <c r="U870" s="39"/>
      <c r="V870" s="39"/>
      <c r="W870" s="39"/>
      <c r="AC870" s="39"/>
      <c r="AD870" s="39"/>
      <c r="AE870" s="39"/>
      <c r="AK870" s="39"/>
      <c r="AL870" s="39"/>
      <c r="AM870" s="39"/>
      <c r="AS870" s="39"/>
      <c r="AT870" s="39"/>
      <c r="AU870" s="39"/>
      <c r="AZ870" s="40"/>
      <c r="BA870" s="39"/>
      <c r="BB870" s="39"/>
      <c r="BC870" s="39"/>
      <c r="BI870" s="39"/>
      <c r="BJ870" s="39"/>
      <c r="BK870" s="39"/>
      <c r="BQ870" s="39"/>
      <c r="BR870" s="39"/>
      <c r="BS870" s="39"/>
      <c r="BY870" s="39"/>
      <c r="BZ870" s="39"/>
      <c r="CA870" s="39"/>
      <c r="CG870" s="39"/>
      <c r="CH870" s="39"/>
      <c r="CI870" s="39"/>
    </row>
    <row r="871" spans="2:87" ht="15.75" customHeight="1">
      <c r="B871" s="2"/>
      <c r="C871" s="10"/>
      <c r="F871" s="39"/>
      <c r="G871" s="39"/>
      <c r="H871" s="39"/>
      <c r="I871" s="39"/>
      <c r="M871" s="39"/>
      <c r="N871" s="39"/>
      <c r="O871" s="39"/>
      <c r="U871" s="39"/>
      <c r="V871" s="39"/>
      <c r="W871" s="39"/>
      <c r="AC871" s="39"/>
      <c r="AD871" s="39"/>
      <c r="AE871" s="39"/>
      <c r="AK871" s="39"/>
      <c r="AL871" s="39"/>
      <c r="AM871" s="39"/>
      <c r="AS871" s="39"/>
      <c r="AT871" s="39"/>
      <c r="AU871" s="39"/>
      <c r="AZ871" s="40"/>
      <c r="BA871" s="39"/>
      <c r="BB871" s="39"/>
      <c r="BC871" s="39"/>
      <c r="BI871" s="39"/>
      <c r="BJ871" s="39"/>
      <c r="BK871" s="39"/>
      <c r="BQ871" s="39"/>
      <c r="BR871" s="39"/>
      <c r="BS871" s="39"/>
      <c r="BY871" s="39"/>
      <c r="BZ871" s="39"/>
      <c r="CA871" s="39"/>
      <c r="CG871" s="39"/>
      <c r="CH871" s="39"/>
      <c r="CI871" s="39"/>
    </row>
    <row r="872" spans="2:87" ht="15.75" customHeight="1">
      <c r="B872" s="2"/>
      <c r="C872" s="10"/>
      <c r="F872" s="39"/>
      <c r="G872" s="39"/>
      <c r="H872" s="39"/>
      <c r="I872" s="39"/>
      <c r="M872" s="39"/>
      <c r="N872" s="39"/>
      <c r="O872" s="39"/>
      <c r="U872" s="39"/>
      <c r="V872" s="39"/>
      <c r="W872" s="39"/>
      <c r="AC872" s="39"/>
      <c r="AD872" s="39"/>
      <c r="AE872" s="39"/>
      <c r="AK872" s="39"/>
      <c r="AL872" s="39"/>
      <c r="AM872" s="39"/>
      <c r="AS872" s="39"/>
      <c r="AT872" s="39"/>
      <c r="AU872" s="39"/>
      <c r="AZ872" s="40"/>
      <c r="BA872" s="39"/>
      <c r="BB872" s="39"/>
      <c r="BC872" s="39"/>
      <c r="BI872" s="39"/>
      <c r="BJ872" s="39"/>
      <c r="BK872" s="39"/>
      <c r="BQ872" s="39"/>
      <c r="BR872" s="39"/>
      <c r="BS872" s="39"/>
      <c r="BY872" s="39"/>
      <c r="BZ872" s="39"/>
      <c r="CA872" s="39"/>
      <c r="CG872" s="39"/>
      <c r="CH872" s="39"/>
      <c r="CI872" s="39"/>
    </row>
    <row r="873" spans="2:87" ht="15.75" customHeight="1">
      <c r="B873" s="2"/>
      <c r="C873" s="10"/>
      <c r="F873" s="39"/>
      <c r="G873" s="39"/>
      <c r="H873" s="39"/>
      <c r="I873" s="39"/>
      <c r="M873" s="39"/>
      <c r="N873" s="39"/>
      <c r="O873" s="39"/>
      <c r="U873" s="39"/>
      <c r="V873" s="39"/>
      <c r="W873" s="39"/>
      <c r="AC873" s="39"/>
      <c r="AD873" s="39"/>
      <c r="AE873" s="39"/>
      <c r="AK873" s="39"/>
      <c r="AL873" s="39"/>
      <c r="AM873" s="39"/>
      <c r="AS873" s="39"/>
      <c r="AT873" s="39"/>
      <c r="AU873" s="39"/>
      <c r="AZ873" s="40"/>
      <c r="BA873" s="39"/>
      <c r="BB873" s="39"/>
      <c r="BC873" s="39"/>
      <c r="BI873" s="39"/>
      <c r="BJ873" s="39"/>
      <c r="BK873" s="39"/>
      <c r="BQ873" s="39"/>
      <c r="BR873" s="39"/>
      <c r="BS873" s="39"/>
      <c r="BY873" s="39"/>
      <c r="BZ873" s="39"/>
      <c r="CA873" s="39"/>
      <c r="CG873" s="39"/>
      <c r="CH873" s="39"/>
      <c r="CI873" s="39"/>
    </row>
    <row r="874" spans="2:87" ht="15.75" customHeight="1">
      <c r="B874" s="2"/>
      <c r="C874" s="10"/>
      <c r="F874" s="39"/>
      <c r="G874" s="39"/>
      <c r="H874" s="39"/>
      <c r="I874" s="39"/>
      <c r="M874" s="39"/>
      <c r="N874" s="39"/>
      <c r="O874" s="39"/>
      <c r="U874" s="39"/>
      <c r="V874" s="39"/>
      <c r="W874" s="39"/>
      <c r="AC874" s="39"/>
      <c r="AD874" s="39"/>
      <c r="AE874" s="39"/>
      <c r="AK874" s="39"/>
      <c r="AL874" s="39"/>
      <c r="AM874" s="39"/>
      <c r="AS874" s="39"/>
      <c r="AT874" s="39"/>
      <c r="AU874" s="39"/>
      <c r="AZ874" s="40"/>
      <c r="BA874" s="39"/>
      <c r="BB874" s="39"/>
      <c r="BC874" s="39"/>
      <c r="BI874" s="39"/>
      <c r="BJ874" s="39"/>
      <c r="BK874" s="39"/>
      <c r="BQ874" s="39"/>
      <c r="BR874" s="39"/>
      <c r="BS874" s="39"/>
      <c r="BY874" s="39"/>
      <c r="BZ874" s="39"/>
      <c r="CA874" s="39"/>
      <c r="CG874" s="39"/>
      <c r="CH874" s="39"/>
      <c r="CI874" s="39"/>
    </row>
    <row r="875" spans="2:87" ht="15.75" customHeight="1">
      <c r="B875" s="2"/>
      <c r="C875" s="10"/>
      <c r="F875" s="39"/>
      <c r="G875" s="39"/>
      <c r="H875" s="39"/>
      <c r="I875" s="39"/>
      <c r="M875" s="39"/>
      <c r="N875" s="39"/>
      <c r="O875" s="39"/>
      <c r="U875" s="39"/>
      <c r="V875" s="39"/>
      <c r="W875" s="39"/>
      <c r="AC875" s="39"/>
      <c r="AD875" s="39"/>
      <c r="AE875" s="39"/>
      <c r="AK875" s="39"/>
      <c r="AL875" s="39"/>
      <c r="AM875" s="39"/>
      <c r="AS875" s="39"/>
      <c r="AT875" s="39"/>
      <c r="AU875" s="39"/>
      <c r="AZ875" s="40"/>
      <c r="BA875" s="39"/>
      <c r="BB875" s="39"/>
      <c r="BC875" s="39"/>
      <c r="BI875" s="39"/>
      <c r="BJ875" s="39"/>
      <c r="BK875" s="39"/>
      <c r="BQ875" s="39"/>
      <c r="BR875" s="39"/>
      <c r="BS875" s="39"/>
      <c r="BY875" s="39"/>
      <c r="BZ875" s="39"/>
      <c r="CA875" s="39"/>
      <c r="CG875" s="39"/>
      <c r="CH875" s="39"/>
      <c r="CI875" s="39"/>
    </row>
    <row r="876" spans="2:87" ht="15.75" customHeight="1">
      <c r="B876" s="2"/>
      <c r="C876" s="10"/>
      <c r="F876" s="39"/>
      <c r="G876" s="39"/>
      <c r="H876" s="39"/>
      <c r="I876" s="39"/>
      <c r="M876" s="39"/>
      <c r="N876" s="39"/>
      <c r="O876" s="39"/>
      <c r="U876" s="39"/>
      <c r="V876" s="39"/>
      <c r="W876" s="39"/>
      <c r="AC876" s="39"/>
      <c r="AD876" s="39"/>
      <c r="AE876" s="39"/>
      <c r="AK876" s="39"/>
      <c r="AL876" s="39"/>
      <c r="AM876" s="39"/>
      <c r="AS876" s="39"/>
      <c r="AT876" s="39"/>
      <c r="AU876" s="39"/>
      <c r="AZ876" s="40"/>
      <c r="BA876" s="39"/>
      <c r="BB876" s="39"/>
      <c r="BC876" s="39"/>
      <c r="BI876" s="39"/>
      <c r="BJ876" s="39"/>
      <c r="BK876" s="39"/>
      <c r="BQ876" s="39"/>
      <c r="BR876" s="39"/>
      <c r="BS876" s="39"/>
      <c r="BY876" s="39"/>
      <c r="BZ876" s="39"/>
      <c r="CA876" s="39"/>
      <c r="CG876" s="39"/>
      <c r="CH876" s="39"/>
      <c r="CI876" s="39"/>
    </row>
    <row r="877" spans="2:87" ht="15.75" customHeight="1">
      <c r="B877" s="2"/>
      <c r="C877" s="10"/>
      <c r="F877" s="39"/>
      <c r="G877" s="39"/>
      <c r="H877" s="39"/>
      <c r="I877" s="39"/>
      <c r="M877" s="39"/>
      <c r="N877" s="39"/>
      <c r="O877" s="39"/>
      <c r="U877" s="39"/>
      <c r="V877" s="39"/>
      <c r="W877" s="39"/>
      <c r="AC877" s="39"/>
      <c r="AD877" s="39"/>
      <c r="AE877" s="39"/>
      <c r="AK877" s="39"/>
      <c r="AL877" s="39"/>
      <c r="AM877" s="39"/>
      <c r="AS877" s="39"/>
      <c r="AT877" s="39"/>
      <c r="AU877" s="39"/>
      <c r="AZ877" s="40"/>
      <c r="BA877" s="39"/>
      <c r="BB877" s="39"/>
      <c r="BC877" s="39"/>
      <c r="BI877" s="39"/>
      <c r="BJ877" s="39"/>
      <c r="BK877" s="39"/>
      <c r="BQ877" s="39"/>
      <c r="BR877" s="39"/>
      <c r="BS877" s="39"/>
      <c r="BY877" s="39"/>
      <c r="BZ877" s="39"/>
      <c r="CA877" s="39"/>
      <c r="CG877" s="39"/>
      <c r="CH877" s="39"/>
      <c r="CI877" s="39"/>
    </row>
    <row r="878" spans="2:87" ht="15.75" customHeight="1">
      <c r="B878" s="2"/>
      <c r="C878" s="10"/>
      <c r="F878" s="39"/>
      <c r="G878" s="39"/>
      <c r="H878" s="39"/>
      <c r="I878" s="39"/>
      <c r="M878" s="39"/>
      <c r="N878" s="39"/>
      <c r="O878" s="39"/>
      <c r="U878" s="39"/>
      <c r="V878" s="39"/>
      <c r="W878" s="39"/>
      <c r="AC878" s="39"/>
      <c r="AD878" s="39"/>
      <c r="AE878" s="39"/>
      <c r="AK878" s="39"/>
      <c r="AL878" s="39"/>
      <c r="AM878" s="39"/>
      <c r="AS878" s="39"/>
      <c r="AT878" s="39"/>
      <c r="AU878" s="39"/>
      <c r="AZ878" s="40"/>
      <c r="BA878" s="39"/>
      <c r="BB878" s="39"/>
      <c r="BC878" s="39"/>
      <c r="BI878" s="39"/>
      <c r="BJ878" s="39"/>
      <c r="BK878" s="39"/>
      <c r="BQ878" s="39"/>
      <c r="BR878" s="39"/>
      <c r="BS878" s="39"/>
      <c r="BY878" s="39"/>
      <c r="BZ878" s="39"/>
      <c r="CA878" s="39"/>
      <c r="CG878" s="39"/>
      <c r="CH878" s="39"/>
      <c r="CI878" s="39"/>
    </row>
    <row r="879" spans="2:87" ht="15.75" customHeight="1">
      <c r="B879" s="2"/>
      <c r="C879" s="10"/>
      <c r="F879" s="39"/>
      <c r="G879" s="39"/>
      <c r="H879" s="39"/>
      <c r="I879" s="39"/>
      <c r="M879" s="39"/>
      <c r="N879" s="39"/>
      <c r="O879" s="39"/>
      <c r="U879" s="39"/>
      <c r="V879" s="39"/>
      <c r="W879" s="39"/>
      <c r="AC879" s="39"/>
      <c r="AD879" s="39"/>
      <c r="AE879" s="39"/>
      <c r="AK879" s="39"/>
      <c r="AL879" s="39"/>
      <c r="AM879" s="39"/>
      <c r="AS879" s="39"/>
      <c r="AT879" s="39"/>
      <c r="AU879" s="39"/>
      <c r="AZ879" s="40"/>
      <c r="BA879" s="39"/>
      <c r="BB879" s="39"/>
      <c r="BC879" s="39"/>
      <c r="BI879" s="39"/>
      <c r="BJ879" s="39"/>
      <c r="BK879" s="39"/>
      <c r="BQ879" s="39"/>
      <c r="BR879" s="39"/>
      <c r="BS879" s="39"/>
      <c r="BY879" s="39"/>
      <c r="BZ879" s="39"/>
      <c r="CA879" s="39"/>
      <c r="CG879" s="39"/>
      <c r="CH879" s="39"/>
      <c r="CI879" s="39"/>
    </row>
    <row r="880" spans="2:87" ht="15.75" customHeight="1">
      <c r="B880" s="2"/>
      <c r="C880" s="10"/>
      <c r="F880" s="39"/>
      <c r="G880" s="39"/>
      <c r="H880" s="39"/>
      <c r="I880" s="39"/>
      <c r="M880" s="39"/>
      <c r="N880" s="39"/>
      <c r="O880" s="39"/>
      <c r="U880" s="39"/>
      <c r="V880" s="39"/>
      <c r="W880" s="39"/>
      <c r="AC880" s="39"/>
      <c r="AD880" s="39"/>
      <c r="AE880" s="39"/>
      <c r="AK880" s="39"/>
      <c r="AL880" s="39"/>
      <c r="AM880" s="39"/>
      <c r="AS880" s="39"/>
      <c r="AT880" s="39"/>
      <c r="AU880" s="39"/>
      <c r="AZ880" s="40"/>
      <c r="BA880" s="39"/>
      <c r="BB880" s="39"/>
      <c r="BC880" s="39"/>
      <c r="BI880" s="39"/>
      <c r="BJ880" s="39"/>
      <c r="BK880" s="39"/>
      <c r="BQ880" s="39"/>
      <c r="BR880" s="39"/>
      <c r="BS880" s="39"/>
      <c r="BY880" s="39"/>
      <c r="BZ880" s="39"/>
      <c r="CA880" s="39"/>
      <c r="CG880" s="39"/>
      <c r="CH880" s="39"/>
      <c r="CI880" s="39"/>
    </row>
    <row r="881" spans="2:87" ht="15.75" customHeight="1">
      <c r="B881" s="2"/>
      <c r="C881" s="10"/>
      <c r="F881" s="39"/>
      <c r="G881" s="39"/>
      <c r="H881" s="39"/>
      <c r="I881" s="39"/>
      <c r="M881" s="39"/>
      <c r="N881" s="39"/>
      <c r="O881" s="39"/>
      <c r="U881" s="39"/>
      <c r="V881" s="39"/>
      <c r="W881" s="39"/>
      <c r="AC881" s="39"/>
      <c r="AD881" s="39"/>
      <c r="AE881" s="39"/>
      <c r="AK881" s="39"/>
      <c r="AL881" s="39"/>
      <c r="AM881" s="39"/>
      <c r="AS881" s="39"/>
      <c r="AT881" s="39"/>
      <c r="AU881" s="39"/>
      <c r="AZ881" s="40"/>
      <c r="BA881" s="39"/>
      <c r="BB881" s="39"/>
      <c r="BC881" s="39"/>
      <c r="BI881" s="39"/>
      <c r="BJ881" s="39"/>
      <c r="BK881" s="39"/>
      <c r="BQ881" s="39"/>
      <c r="BR881" s="39"/>
      <c r="BS881" s="39"/>
      <c r="BY881" s="39"/>
      <c r="BZ881" s="39"/>
      <c r="CA881" s="39"/>
      <c r="CG881" s="39"/>
      <c r="CH881" s="39"/>
      <c r="CI881" s="39"/>
    </row>
    <row r="882" spans="2:87" ht="15.75" customHeight="1">
      <c r="B882" s="2"/>
      <c r="C882" s="10"/>
      <c r="F882" s="39"/>
      <c r="G882" s="39"/>
      <c r="H882" s="39"/>
      <c r="I882" s="39"/>
      <c r="M882" s="39"/>
      <c r="N882" s="39"/>
      <c r="O882" s="39"/>
      <c r="U882" s="39"/>
      <c r="V882" s="39"/>
      <c r="W882" s="39"/>
      <c r="AC882" s="39"/>
      <c r="AD882" s="39"/>
      <c r="AE882" s="39"/>
      <c r="AK882" s="39"/>
      <c r="AL882" s="39"/>
      <c r="AM882" s="39"/>
      <c r="AS882" s="39"/>
      <c r="AT882" s="39"/>
      <c r="AU882" s="39"/>
      <c r="AZ882" s="40"/>
      <c r="BA882" s="39"/>
      <c r="BB882" s="39"/>
      <c r="BC882" s="39"/>
      <c r="BI882" s="39"/>
      <c r="BJ882" s="39"/>
      <c r="BK882" s="39"/>
      <c r="BQ882" s="39"/>
      <c r="BR882" s="39"/>
      <c r="BS882" s="39"/>
      <c r="BY882" s="39"/>
      <c r="BZ882" s="39"/>
      <c r="CA882" s="39"/>
      <c r="CG882" s="39"/>
      <c r="CH882" s="39"/>
      <c r="CI882" s="39"/>
    </row>
    <row r="883" spans="2:87" ht="15.75" customHeight="1">
      <c r="B883" s="2"/>
      <c r="C883" s="10"/>
      <c r="F883" s="39"/>
      <c r="G883" s="39"/>
      <c r="H883" s="39"/>
      <c r="I883" s="39"/>
      <c r="M883" s="39"/>
      <c r="N883" s="39"/>
      <c r="O883" s="39"/>
      <c r="U883" s="39"/>
      <c r="V883" s="39"/>
      <c r="W883" s="39"/>
      <c r="AC883" s="39"/>
      <c r="AD883" s="39"/>
      <c r="AE883" s="39"/>
      <c r="AK883" s="39"/>
      <c r="AL883" s="39"/>
      <c r="AM883" s="39"/>
      <c r="AS883" s="39"/>
      <c r="AT883" s="39"/>
      <c r="AU883" s="39"/>
      <c r="AZ883" s="40"/>
      <c r="BA883" s="39"/>
      <c r="BB883" s="39"/>
      <c r="BC883" s="39"/>
      <c r="BI883" s="39"/>
      <c r="BJ883" s="39"/>
      <c r="BK883" s="39"/>
      <c r="BQ883" s="39"/>
      <c r="BR883" s="39"/>
      <c r="BS883" s="39"/>
      <c r="BY883" s="39"/>
      <c r="BZ883" s="39"/>
      <c r="CA883" s="39"/>
      <c r="CG883" s="39"/>
      <c r="CH883" s="39"/>
      <c r="CI883" s="39"/>
    </row>
    <row r="884" spans="2:87" ht="15.75" customHeight="1">
      <c r="B884" s="2"/>
      <c r="C884" s="10"/>
      <c r="F884" s="39"/>
      <c r="G884" s="39"/>
      <c r="H884" s="39"/>
      <c r="I884" s="39"/>
      <c r="M884" s="39"/>
      <c r="N884" s="39"/>
      <c r="O884" s="39"/>
      <c r="U884" s="39"/>
      <c r="V884" s="39"/>
      <c r="W884" s="39"/>
      <c r="AC884" s="39"/>
      <c r="AD884" s="39"/>
      <c r="AE884" s="39"/>
      <c r="AK884" s="39"/>
      <c r="AL884" s="39"/>
      <c r="AM884" s="39"/>
      <c r="AS884" s="39"/>
      <c r="AT884" s="39"/>
      <c r="AU884" s="39"/>
      <c r="AZ884" s="40"/>
      <c r="BA884" s="39"/>
      <c r="BB884" s="39"/>
      <c r="BC884" s="39"/>
      <c r="BI884" s="39"/>
      <c r="BJ884" s="39"/>
      <c r="BK884" s="39"/>
      <c r="BQ884" s="39"/>
      <c r="BR884" s="39"/>
      <c r="BS884" s="39"/>
      <c r="BY884" s="39"/>
      <c r="BZ884" s="39"/>
      <c r="CA884" s="39"/>
      <c r="CG884" s="39"/>
      <c r="CH884" s="39"/>
      <c r="CI884" s="39"/>
    </row>
    <row r="885" spans="2:87" ht="15.75" customHeight="1">
      <c r="B885" s="2"/>
      <c r="C885" s="10"/>
      <c r="F885" s="39"/>
      <c r="G885" s="39"/>
      <c r="H885" s="39"/>
      <c r="I885" s="39"/>
      <c r="M885" s="39"/>
      <c r="N885" s="39"/>
      <c r="O885" s="39"/>
      <c r="U885" s="39"/>
      <c r="V885" s="39"/>
      <c r="W885" s="39"/>
      <c r="AC885" s="39"/>
      <c r="AD885" s="39"/>
      <c r="AE885" s="39"/>
      <c r="AK885" s="39"/>
      <c r="AL885" s="39"/>
      <c r="AM885" s="39"/>
      <c r="AS885" s="39"/>
      <c r="AT885" s="39"/>
      <c r="AU885" s="39"/>
      <c r="AZ885" s="40"/>
      <c r="BA885" s="39"/>
      <c r="BB885" s="39"/>
      <c r="BC885" s="39"/>
      <c r="BI885" s="39"/>
      <c r="BJ885" s="39"/>
      <c r="BK885" s="39"/>
      <c r="BQ885" s="39"/>
      <c r="BR885" s="39"/>
      <c r="BS885" s="39"/>
      <c r="BY885" s="39"/>
      <c r="BZ885" s="39"/>
      <c r="CA885" s="39"/>
      <c r="CG885" s="39"/>
      <c r="CH885" s="39"/>
      <c r="CI885" s="39"/>
    </row>
    <row r="886" spans="2:87" ht="15.75" customHeight="1">
      <c r="B886" s="2"/>
      <c r="C886" s="10"/>
      <c r="F886" s="39"/>
      <c r="G886" s="39"/>
      <c r="H886" s="39"/>
      <c r="I886" s="39"/>
      <c r="M886" s="39"/>
      <c r="N886" s="39"/>
      <c r="O886" s="39"/>
      <c r="U886" s="39"/>
      <c r="V886" s="39"/>
      <c r="W886" s="39"/>
      <c r="AC886" s="39"/>
      <c r="AD886" s="39"/>
      <c r="AE886" s="39"/>
      <c r="AK886" s="39"/>
      <c r="AL886" s="39"/>
      <c r="AM886" s="39"/>
      <c r="AS886" s="39"/>
      <c r="AT886" s="39"/>
      <c r="AU886" s="39"/>
      <c r="AZ886" s="40"/>
      <c r="BA886" s="39"/>
      <c r="BB886" s="39"/>
      <c r="BC886" s="39"/>
      <c r="BI886" s="39"/>
      <c r="BJ886" s="39"/>
      <c r="BK886" s="39"/>
      <c r="BQ886" s="39"/>
      <c r="BR886" s="39"/>
      <c r="BS886" s="39"/>
      <c r="BY886" s="39"/>
      <c r="BZ886" s="39"/>
      <c r="CA886" s="39"/>
      <c r="CG886" s="39"/>
      <c r="CH886" s="39"/>
      <c r="CI886" s="39"/>
    </row>
    <row r="887" spans="2:87" ht="15.75" customHeight="1">
      <c r="B887" s="2"/>
      <c r="C887" s="10"/>
      <c r="F887" s="39"/>
      <c r="G887" s="39"/>
      <c r="H887" s="39"/>
      <c r="I887" s="39"/>
      <c r="M887" s="39"/>
      <c r="N887" s="39"/>
      <c r="O887" s="39"/>
      <c r="U887" s="39"/>
      <c r="V887" s="39"/>
      <c r="W887" s="39"/>
      <c r="AC887" s="39"/>
      <c r="AD887" s="39"/>
      <c r="AE887" s="39"/>
      <c r="AK887" s="39"/>
      <c r="AL887" s="39"/>
      <c r="AM887" s="39"/>
      <c r="AS887" s="39"/>
      <c r="AT887" s="39"/>
      <c r="AU887" s="39"/>
      <c r="AZ887" s="40"/>
      <c r="BA887" s="39"/>
      <c r="BB887" s="39"/>
      <c r="BC887" s="39"/>
      <c r="BI887" s="39"/>
      <c r="BJ887" s="39"/>
      <c r="BK887" s="39"/>
      <c r="BQ887" s="39"/>
      <c r="BR887" s="39"/>
      <c r="BS887" s="39"/>
      <c r="BY887" s="39"/>
      <c r="BZ887" s="39"/>
      <c r="CA887" s="39"/>
      <c r="CG887" s="39"/>
      <c r="CH887" s="39"/>
      <c r="CI887" s="39"/>
    </row>
    <row r="888" spans="2:87" ht="15.75" customHeight="1">
      <c r="B888" s="2"/>
      <c r="C888" s="10"/>
      <c r="F888" s="39"/>
      <c r="G888" s="39"/>
      <c r="H888" s="39"/>
      <c r="I888" s="39"/>
      <c r="M888" s="39"/>
      <c r="N888" s="39"/>
      <c r="O888" s="39"/>
      <c r="U888" s="39"/>
      <c r="V888" s="39"/>
      <c r="W888" s="39"/>
      <c r="AC888" s="39"/>
      <c r="AD888" s="39"/>
      <c r="AE888" s="39"/>
      <c r="AK888" s="39"/>
      <c r="AL888" s="39"/>
      <c r="AM888" s="39"/>
      <c r="AS888" s="39"/>
      <c r="AT888" s="39"/>
      <c r="AU888" s="39"/>
      <c r="AZ888" s="40"/>
      <c r="BA888" s="39"/>
      <c r="BB888" s="39"/>
      <c r="BC888" s="39"/>
      <c r="BI888" s="39"/>
      <c r="BJ888" s="39"/>
      <c r="BK888" s="39"/>
      <c r="BQ888" s="39"/>
      <c r="BR888" s="39"/>
      <c r="BS888" s="39"/>
      <c r="BY888" s="39"/>
      <c r="BZ888" s="39"/>
      <c r="CA888" s="39"/>
      <c r="CG888" s="39"/>
      <c r="CH888" s="39"/>
      <c r="CI888" s="39"/>
    </row>
    <row r="889" spans="2:87" ht="15.75" customHeight="1">
      <c r="B889" s="2"/>
      <c r="C889" s="10"/>
      <c r="F889" s="39"/>
      <c r="G889" s="39"/>
      <c r="H889" s="39"/>
      <c r="I889" s="39"/>
      <c r="M889" s="39"/>
      <c r="N889" s="39"/>
      <c r="O889" s="39"/>
      <c r="U889" s="39"/>
      <c r="V889" s="39"/>
      <c r="W889" s="39"/>
      <c r="AC889" s="39"/>
      <c r="AD889" s="39"/>
      <c r="AE889" s="39"/>
      <c r="AK889" s="39"/>
      <c r="AL889" s="39"/>
      <c r="AM889" s="39"/>
      <c r="AS889" s="39"/>
      <c r="AT889" s="39"/>
      <c r="AU889" s="39"/>
      <c r="AZ889" s="40"/>
      <c r="BA889" s="39"/>
      <c r="BB889" s="39"/>
      <c r="BC889" s="39"/>
      <c r="BI889" s="39"/>
      <c r="BJ889" s="39"/>
      <c r="BK889" s="39"/>
      <c r="BQ889" s="39"/>
      <c r="BR889" s="39"/>
      <c r="BS889" s="39"/>
      <c r="BY889" s="39"/>
      <c r="BZ889" s="39"/>
      <c r="CA889" s="39"/>
      <c r="CG889" s="39"/>
      <c r="CH889" s="39"/>
      <c r="CI889" s="39"/>
    </row>
    <row r="890" spans="2:87" ht="15.75" customHeight="1">
      <c r="B890" s="2"/>
      <c r="C890" s="10"/>
      <c r="F890" s="39"/>
      <c r="G890" s="39"/>
      <c r="H890" s="39"/>
      <c r="I890" s="39"/>
      <c r="M890" s="39"/>
      <c r="N890" s="39"/>
      <c r="O890" s="39"/>
      <c r="U890" s="39"/>
      <c r="V890" s="39"/>
      <c r="W890" s="39"/>
      <c r="AC890" s="39"/>
      <c r="AD890" s="39"/>
      <c r="AE890" s="39"/>
      <c r="AK890" s="39"/>
      <c r="AL890" s="39"/>
      <c r="AM890" s="39"/>
      <c r="AS890" s="39"/>
      <c r="AT890" s="39"/>
      <c r="AU890" s="39"/>
      <c r="AZ890" s="40"/>
      <c r="BA890" s="39"/>
      <c r="BB890" s="39"/>
      <c r="BC890" s="39"/>
      <c r="BI890" s="39"/>
      <c r="BJ890" s="39"/>
      <c r="BK890" s="39"/>
      <c r="BQ890" s="39"/>
      <c r="BR890" s="39"/>
      <c r="BS890" s="39"/>
      <c r="BY890" s="39"/>
      <c r="BZ890" s="39"/>
      <c r="CA890" s="39"/>
      <c r="CG890" s="39"/>
      <c r="CH890" s="39"/>
      <c r="CI890" s="39"/>
    </row>
    <row r="891" spans="2:87" ht="15.75" customHeight="1">
      <c r="B891" s="2"/>
      <c r="C891" s="10"/>
      <c r="F891" s="39"/>
      <c r="G891" s="39"/>
      <c r="H891" s="39"/>
      <c r="I891" s="39"/>
      <c r="M891" s="39"/>
      <c r="N891" s="39"/>
      <c r="O891" s="39"/>
      <c r="U891" s="39"/>
      <c r="V891" s="39"/>
      <c r="W891" s="39"/>
      <c r="AC891" s="39"/>
      <c r="AD891" s="39"/>
      <c r="AE891" s="39"/>
      <c r="AK891" s="39"/>
      <c r="AL891" s="39"/>
      <c r="AM891" s="39"/>
      <c r="AS891" s="39"/>
      <c r="AT891" s="39"/>
      <c r="AU891" s="39"/>
      <c r="AZ891" s="40"/>
      <c r="BA891" s="39"/>
      <c r="BB891" s="39"/>
      <c r="BC891" s="39"/>
      <c r="BI891" s="39"/>
      <c r="BJ891" s="39"/>
      <c r="BK891" s="39"/>
      <c r="BQ891" s="39"/>
      <c r="BR891" s="39"/>
      <c r="BS891" s="39"/>
      <c r="BY891" s="39"/>
      <c r="BZ891" s="39"/>
      <c r="CA891" s="39"/>
      <c r="CG891" s="39"/>
      <c r="CH891" s="39"/>
      <c r="CI891" s="39"/>
    </row>
    <row r="892" spans="2:87" ht="15.75" customHeight="1">
      <c r="B892" s="2"/>
      <c r="C892" s="10"/>
      <c r="F892" s="39"/>
      <c r="G892" s="39"/>
      <c r="H892" s="39"/>
      <c r="I892" s="39"/>
      <c r="M892" s="39"/>
      <c r="N892" s="39"/>
      <c r="O892" s="39"/>
      <c r="U892" s="39"/>
      <c r="V892" s="39"/>
      <c r="W892" s="39"/>
      <c r="AC892" s="39"/>
      <c r="AD892" s="39"/>
      <c r="AE892" s="39"/>
      <c r="AK892" s="39"/>
      <c r="AL892" s="39"/>
      <c r="AM892" s="39"/>
      <c r="AS892" s="39"/>
      <c r="AT892" s="39"/>
      <c r="AU892" s="39"/>
      <c r="AZ892" s="40"/>
      <c r="BA892" s="39"/>
      <c r="BB892" s="39"/>
      <c r="BC892" s="39"/>
      <c r="BI892" s="39"/>
      <c r="BJ892" s="39"/>
      <c r="BK892" s="39"/>
      <c r="BQ892" s="39"/>
      <c r="BR892" s="39"/>
      <c r="BS892" s="39"/>
      <c r="BY892" s="39"/>
      <c r="BZ892" s="39"/>
      <c r="CA892" s="39"/>
      <c r="CG892" s="39"/>
      <c r="CH892" s="39"/>
      <c r="CI892" s="39"/>
    </row>
    <row r="893" spans="2:87" ht="15.75" customHeight="1">
      <c r="B893" s="2"/>
      <c r="C893" s="10"/>
      <c r="F893" s="39"/>
      <c r="G893" s="39"/>
      <c r="H893" s="39"/>
      <c r="I893" s="39"/>
      <c r="M893" s="39"/>
      <c r="N893" s="39"/>
      <c r="O893" s="39"/>
      <c r="U893" s="39"/>
      <c r="V893" s="39"/>
      <c r="W893" s="39"/>
      <c r="AC893" s="39"/>
      <c r="AD893" s="39"/>
      <c r="AE893" s="39"/>
      <c r="AK893" s="39"/>
      <c r="AL893" s="39"/>
      <c r="AM893" s="39"/>
      <c r="AS893" s="39"/>
      <c r="AT893" s="39"/>
      <c r="AU893" s="39"/>
      <c r="AZ893" s="40"/>
      <c r="BA893" s="39"/>
      <c r="BB893" s="39"/>
      <c r="BC893" s="39"/>
      <c r="BI893" s="39"/>
      <c r="BJ893" s="39"/>
      <c r="BK893" s="39"/>
      <c r="BQ893" s="39"/>
      <c r="BR893" s="39"/>
      <c r="BS893" s="39"/>
      <c r="BY893" s="39"/>
      <c r="BZ893" s="39"/>
      <c r="CA893" s="39"/>
      <c r="CG893" s="39"/>
      <c r="CH893" s="39"/>
      <c r="CI893" s="39"/>
    </row>
    <row r="894" spans="2:87" ht="15.75" customHeight="1">
      <c r="B894" s="2"/>
      <c r="C894" s="10"/>
      <c r="F894" s="39"/>
      <c r="G894" s="39"/>
      <c r="H894" s="39"/>
      <c r="I894" s="39"/>
      <c r="M894" s="39"/>
      <c r="N894" s="39"/>
      <c r="O894" s="39"/>
      <c r="U894" s="39"/>
      <c r="V894" s="39"/>
      <c r="W894" s="39"/>
      <c r="AC894" s="39"/>
      <c r="AD894" s="39"/>
      <c r="AE894" s="39"/>
      <c r="AK894" s="39"/>
      <c r="AL894" s="39"/>
      <c r="AM894" s="39"/>
      <c r="AS894" s="39"/>
      <c r="AT894" s="39"/>
      <c r="AU894" s="39"/>
      <c r="AZ894" s="40"/>
      <c r="BA894" s="39"/>
      <c r="BB894" s="39"/>
      <c r="BC894" s="39"/>
      <c r="BI894" s="39"/>
      <c r="BJ894" s="39"/>
      <c r="BK894" s="39"/>
      <c r="BQ894" s="39"/>
      <c r="BR894" s="39"/>
      <c r="BS894" s="39"/>
      <c r="BY894" s="39"/>
      <c r="BZ894" s="39"/>
      <c r="CA894" s="39"/>
      <c r="CG894" s="39"/>
      <c r="CH894" s="39"/>
      <c r="CI894" s="39"/>
    </row>
    <row r="895" spans="2:87" ht="15.75" customHeight="1">
      <c r="B895" s="2"/>
      <c r="C895" s="10"/>
      <c r="F895" s="39"/>
      <c r="G895" s="39"/>
      <c r="H895" s="39"/>
      <c r="I895" s="39"/>
      <c r="M895" s="39"/>
      <c r="N895" s="39"/>
      <c r="O895" s="39"/>
      <c r="U895" s="39"/>
      <c r="V895" s="39"/>
      <c r="W895" s="39"/>
      <c r="AC895" s="39"/>
      <c r="AD895" s="39"/>
      <c r="AE895" s="39"/>
      <c r="AK895" s="39"/>
      <c r="AL895" s="39"/>
      <c r="AM895" s="39"/>
      <c r="AS895" s="39"/>
      <c r="AT895" s="39"/>
      <c r="AU895" s="39"/>
      <c r="AZ895" s="40"/>
      <c r="BA895" s="39"/>
      <c r="BB895" s="39"/>
      <c r="BC895" s="39"/>
      <c r="BI895" s="39"/>
      <c r="BJ895" s="39"/>
      <c r="BK895" s="39"/>
      <c r="BQ895" s="39"/>
      <c r="BR895" s="39"/>
      <c r="BS895" s="39"/>
      <c r="BY895" s="39"/>
      <c r="BZ895" s="39"/>
      <c r="CA895" s="39"/>
      <c r="CG895" s="39"/>
      <c r="CH895" s="39"/>
      <c r="CI895" s="39"/>
    </row>
    <row r="896" spans="2:87" ht="15.75" customHeight="1">
      <c r="B896" s="2"/>
      <c r="C896" s="10"/>
      <c r="F896" s="39"/>
      <c r="G896" s="39"/>
      <c r="H896" s="39"/>
      <c r="I896" s="39"/>
      <c r="M896" s="39"/>
      <c r="N896" s="39"/>
      <c r="O896" s="39"/>
      <c r="U896" s="39"/>
      <c r="V896" s="39"/>
      <c r="W896" s="39"/>
      <c r="AC896" s="39"/>
      <c r="AD896" s="39"/>
      <c r="AE896" s="39"/>
      <c r="AK896" s="39"/>
      <c r="AL896" s="39"/>
      <c r="AM896" s="39"/>
      <c r="AS896" s="39"/>
      <c r="AT896" s="39"/>
      <c r="AU896" s="39"/>
      <c r="AZ896" s="40"/>
      <c r="BA896" s="39"/>
      <c r="BB896" s="39"/>
      <c r="BC896" s="39"/>
      <c r="BI896" s="39"/>
      <c r="BJ896" s="39"/>
      <c r="BK896" s="39"/>
      <c r="BQ896" s="39"/>
      <c r="BR896" s="39"/>
      <c r="BS896" s="39"/>
      <c r="BY896" s="39"/>
      <c r="BZ896" s="39"/>
      <c r="CA896" s="39"/>
      <c r="CG896" s="39"/>
      <c r="CH896" s="39"/>
      <c r="CI896" s="39"/>
    </row>
    <row r="897" spans="2:87" ht="15.75" customHeight="1">
      <c r="B897" s="2"/>
      <c r="C897" s="10"/>
      <c r="F897" s="39"/>
      <c r="G897" s="39"/>
      <c r="H897" s="39"/>
      <c r="I897" s="39"/>
      <c r="M897" s="39"/>
      <c r="N897" s="39"/>
      <c r="O897" s="39"/>
      <c r="U897" s="39"/>
      <c r="V897" s="39"/>
      <c r="W897" s="39"/>
      <c r="AC897" s="39"/>
      <c r="AD897" s="39"/>
      <c r="AE897" s="39"/>
      <c r="AK897" s="39"/>
      <c r="AL897" s="39"/>
      <c r="AM897" s="39"/>
      <c r="AS897" s="39"/>
      <c r="AT897" s="39"/>
      <c r="AU897" s="39"/>
      <c r="AZ897" s="40"/>
      <c r="BA897" s="39"/>
      <c r="BB897" s="39"/>
      <c r="BC897" s="39"/>
      <c r="BI897" s="39"/>
      <c r="BJ897" s="39"/>
      <c r="BK897" s="39"/>
      <c r="BQ897" s="39"/>
      <c r="BR897" s="39"/>
      <c r="BS897" s="39"/>
      <c r="BY897" s="39"/>
      <c r="BZ897" s="39"/>
      <c r="CA897" s="39"/>
      <c r="CG897" s="39"/>
      <c r="CH897" s="39"/>
      <c r="CI897" s="39"/>
    </row>
    <row r="898" spans="2:87" ht="15.75" customHeight="1">
      <c r="B898" s="2"/>
      <c r="C898" s="10"/>
      <c r="F898" s="39"/>
      <c r="G898" s="39"/>
      <c r="H898" s="39"/>
      <c r="I898" s="39"/>
      <c r="M898" s="39"/>
      <c r="N898" s="39"/>
      <c r="O898" s="39"/>
      <c r="U898" s="39"/>
      <c r="V898" s="39"/>
      <c r="W898" s="39"/>
      <c r="AC898" s="39"/>
      <c r="AD898" s="39"/>
      <c r="AE898" s="39"/>
      <c r="AK898" s="39"/>
      <c r="AL898" s="39"/>
      <c r="AM898" s="39"/>
      <c r="AS898" s="39"/>
      <c r="AT898" s="39"/>
      <c r="AU898" s="39"/>
      <c r="AZ898" s="40"/>
      <c r="BA898" s="39"/>
      <c r="BB898" s="39"/>
      <c r="BC898" s="39"/>
      <c r="BI898" s="39"/>
      <c r="BJ898" s="39"/>
      <c r="BK898" s="39"/>
      <c r="BQ898" s="39"/>
      <c r="BR898" s="39"/>
      <c r="BS898" s="39"/>
      <c r="BY898" s="39"/>
      <c r="BZ898" s="39"/>
      <c r="CA898" s="39"/>
      <c r="CG898" s="39"/>
      <c r="CH898" s="39"/>
      <c r="CI898" s="39"/>
    </row>
    <row r="899" spans="2:87" ht="15.75" customHeight="1">
      <c r="B899" s="2"/>
      <c r="C899" s="10"/>
      <c r="F899" s="39"/>
      <c r="G899" s="39"/>
      <c r="H899" s="39"/>
      <c r="I899" s="39"/>
      <c r="M899" s="39"/>
      <c r="N899" s="39"/>
      <c r="O899" s="39"/>
      <c r="U899" s="39"/>
      <c r="V899" s="39"/>
      <c r="W899" s="39"/>
      <c r="AC899" s="39"/>
      <c r="AD899" s="39"/>
      <c r="AE899" s="39"/>
      <c r="AK899" s="39"/>
      <c r="AL899" s="39"/>
      <c r="AM899" s="39"/>
      <c r="AS899" s="39"/>
      <c r="AT899" s="39"/>
      <c r="AU899" s="39"/>
      <c r="AZ899" s="40"/>
      <c r="BA899" s="39"/>
      <c r="BB899" s="39"/>
      <c r="BC899" s="39"/>
      <c r="BI899" s="39"/>
      <c r="BJ899" s="39"/>
      <c r="BK899" s="39"/>
      <c r="BQ899" s="39"/>
      <c r="BR899" s="39"/>
      <c r="BS899" s="39"/>
      <c r="BY899" s="39"/>
      <c r="BZ899" s="39"/>
      <c r="CA899" s="39"/>
      <c r="CG899" s="39"/>
      <c r="CH899" s="39"/>
      <c r="CI899" s="39"/>
    </row>
    <row r="900" spans="2:87" ht="15.75" customHeight="1">
      <c r="B900" s="2"/>
      <c r="C900" s="10"/>
      <c r="F900" s="39"/>
      <c r="G900" s="39"/>
      <c r="H900" s="39"/>
      <c r="I900" s="39"/>
      <c r="M900" s="39"/>
      <c r="N900" s="39"/>
      <c r="O900" s="39"/>
      <c r="U900" s="39"/>
      <c r="V900" s="39"/>
      <c r="W900" s="39"/>
      <c r="AC900" s="39"/>
      <c r="AD900" s="39"/>
      <c r="AE900" s="39"/>
      <c r="AK900" s="39"/>
      <c r="AL900" s="39"/>
      <c r="AM900" s="39"/>
      <c r="AS900" s="39"/>
      <c r="AT900" s="39"/>
      <c r="AU900" s="39"/>
      <c r="AZ900" s="40"/>
      <c r="BA900" s="39"/>
      <c r="BB900" s="39"/>
      <c r="BC900" s="39"/>
      <c r="BI900" s="39"/>
      <c r="BJ900" s="39"/>
      <c r="BK900" s="39"/>
      <c r="BQ900" s="39"/>
      <c r="BR900" s="39"/>
      <c r="BS900" s="39"/>
      <c r="BY900" s="39"/>
      <c r="BZ900" s="39"/>
      <c r="CA900" s="39"/>
      <c r="CG900" s="39"/>
      <c r="CH900" s="39"/>
      <c r="CI900" s="39"/>
    </row>
    <row r="901" spans="2:87" ht="15.75" customHeight="1">
      <c r="B901" s="2"/>
      <c r="C901" s="10"/>
      <c r="F901" s="39"/>
      <c r="G901" s="39"/>
      <c r="H901" s="39"/>
      <c r="I901" s="39"/>
      <c r="M901" s="39"/>
      <c r="N901" s="39"/>
      <c r="O901" s="39"/>
      <c r="U901" s="39"/>
      <c r="V901" s="39"/>
      <c r="W901" s="39"/>
      <c r="AC901" s="39"/>
      <c r="AD901" s="39"/>
      <c r="AE901" s="39"/>
      <c r="AK901" s="39"/>
      <c r="AL901" s="39"/>
      <c r="AM901" s="39"/>
      <c r="AS901" s="39"/>
      <c r="AT901" s="39"/>
      <c r="AU901" s="39"/>
      <c r="AZ901" s="40"/>
      <c r="BA901" s="39"/>
      <c r="BB901" s="39"/>
      <c r="BC901" s="39"/>
      <c r="BI901" s="39"/>
      <c r="BJ901" s="39"/>
      <c r="BK901" s="39"/>
      <c r="BQ901" s="39"/>
      <c r="BR901" s="39"/>
      <c r="BS901" s="39"/>
      <c r="BY901" s="39"/>
      <c r="BZ901" s="39"/>
      <c r="CA901" s="39"/>
      <c r="CG901" s="39"/>
      <c r="CH901" s="39"/>
      <c r="CI901" s="39"/>
    </row>
    <row r="902" spans="2:87" ht="15.75" customHeight="1">
      <c r="B902" s="2"/>
      <c r="C902" s="10"/>
      <c r="F902" s="39"/>
      <c r="G902" s="39"/>
      <c r="H902" s="39"/>
      <c r="I902" s="39"/>
      <c r="M902" s="39"/>
      <c r="N902" s="39"/>
      <c r="O902" s="39"/>
      <c r="U902" s="39"/>
      <c r="V902" s="39"/>
      <c r="W902" s="39"/>
      <c r="AC902" s="39"/>
      <c r="AD902" s="39"/>
      <c r="AE902" s="39"/>
      <c r="AK902" s="39"/>
      <c r="AL902" s="39"/>
      <c r="AM902" s="39"/>
      <c r="AS902" s="39"/>
      <c r="AT902" s="39"/>
      <c r="AU902" s="39"/>
      <c r="AZ902" s="40"/>
      <c r="BA902" s="39"/>
      <c r="BB902" s="39"/>
      <c r="BC902" s="39"/>
      <c r="BI902" s="39"/>
      <c r="BJ902" s="39"/>
      <c r="BK902" s="39"/>
      <c r="BQ902" s="39"/>
      <c r="BR902" s="39"/>
      <c r="BS902" s="39"/>
      <c r="BY902" s="39"/>
      <c r="BZ902" s="39"/>
      <c r="CA902" s="39"/>
      <c r="CG902" s="39"/>
      <c r="CH902" s="39"/>
      <c r="CI902" s="39"/>
    </row>
    <row r="903" spans="2:87" ht="15.75" customHeight="1">
      <c r="B903" s="2"/>
      <c r="C903" s="10"/>
      <c r="F903" s="39"/>
      <c r="G903" s="39"/>
      <c r="H903" s="39"/>
      <c r="I903" s="39"/>
      <c r="M903" s="39"/>
      <c r="N903" s="39"/>
      <c r="O903" s="39"/>
      <c r="U903" s="39"/>
      <c r="V903" s="39"/>
      <c r="W903" s="39"/>
      <c r="AC903" s="39"/>
      <c r="AD903" s="39"/>
      <c r="AE903" s="39"/>
      <c r="AK903" s="39"/>
      <c r="AL903" s="39"/>
      <c r="AM903" s="39"/>
      <c r="AS903" s="39"/>
      <c r="AT903" s="39"/>
      <c r="AU903" s="39"/>
      <c r="AZ903" s="40"/>
      <c r="BA903" s="39"/>
      <c r="BB903" s="39"/>
      <c r="BC903" s="39"/>
      <c r="BI903" s="39"/>
      <c r="BJ903" s="39"/>
      <c r="BK903" s="39"/>
      <c r="BQ903" s="39"/>
      <c r="BR903" s="39"/>
      <c r="BS903" s="39"/>
      <c r="BY903" s="39"/>
      <c r="BZ903" s="39"/>
      <c r="CA903" s="39"/>
      <c r="CG903" s="39"/>
      <c r="CH903" s="39"/>
      <c r="CI903" s="39"/>
    </row>
    <row r="904" spans="2:87" ht="15.75" customHeight="1">
      <c r="B904" s="2"/>
      <c r="C904" s="10"/>
      <c r="F904" s="39"/>
      <c r="G904" s="39"/>
      <c r="H904" s="39"/>
      <c r="I904" s="39"/>
      <c r="M904" s="39"/>
      <c r="N904" s="39"/>
      <c r="O904" s="39"/>
      <c r="U904" s="39"/>
      <c r="V904" s="39"/>
      <c r="W904" s="39"/>
      <c r="AC904" s="39"/>
      <c r="AD904" s="39"/>
      <c r="AE904" s="39"/>
      <c r="AK904" s="39"/>
      <c r="AL904" s="39"/>
      <c r="AM904" s="39"/>
      <c r="AS904" s="39"/>
      <c r="AT904" s="39"/>
      <c r="AU904" s="39"/>
      <c r="AZ904" s="40"/>
      <c r="BA904" s="39"/>
      <c r="BB904" s="39"/>
      <c r="BC904" s="39"/>
      <c r="BI904" s="39"/>
      <c r="BJ904" s="39"/>
      <c r="BK904" s="39"/>
      <c r="BQ904" s="39"/>
      <c r="BR904" s="39"/>
      <c r="BS904" s="39"/>
      <c r="BY904" s="39"/>
      <c r="BZ904" s="39"/>
      <c r="CA904" s="39"/>
      <c r="CG904" s="39"/>
      <c r="CH904" s="39"/>
      <c r="CI904" s="39"/>
    </row>
    <row r="905" spans="2:87" ht="15.75" customHeight="1">
      <c r="B905" s="2"/>
      <c r="C905" s="10"/>
      <c r="F905" s="39"/>
      <c r="G905" s="39"/>
      <c r="H905" s="39"/>
      <c r="I905" s="39"/>
      <c r="M905" s="39"/>
      <c r="N905" s="39"/>
      <c r="O905" s="39"/>
      <c r="U905" s="39"/>
      <c r="V905" s="39"/>
      <c r="W905" s="39"/>
      <c r="AC905" s="39"/>
      <c r="AD905" s="39"/>
      <c r="AE905" s="39"/>
      <c r="AK905" s="39"/>
      <c r="AL905" s="39"/>
      <c r="AM905" s="39"/>
      <c r="AS905" s="39"/>
      <c r="AT905" s="39"/>
      <c r="AU905" s="39"/>
      <c r="AZ905" s="40"/>
      <c r="BA905" s="39"/>
      <c r="BB905" s="39"/>
      <c r="BC905" s="39"/>
      <c r="BI905" s="39"/>
      <c r="BJ905" s="39"/>
      <c r="BK905" s="39"/>
      <c r="BQ905" s="39"/>
      <c r="BR905" s="39"/>
      <c r="BS905" s="39"/>
      <c r="BY905" s="39"/>
      <c r="BZ905" s="39"/>
      <c r="CA905" s="39"/>
      <c r="CG905" s="39"/>
      <c r="CH905" s="39"/>
      <c r="CI905" s="39"/>
    </row>
    <row r="906" spans="2:87" ht="15.75" customHeight="1">
      <c r="B906" s="2"/>
      <c r="C906" s="10"/>
      <c r="F906" s="39"/>
      <c r="G906" s="39"/>
      <c r="H906" s="39"/>
      <c r="I906" s="39"/>
      <c r="M906" s="39"/>
      <c r="N906" s="39"/>
      <c r="O906" s="39"/>
      <c r="U906" s="39"/>
      <c r="V906" s="39"/>
      <c r="W906" s="39"/>
      <c r="AC906" s="39"/>
      <c r="AD906" s="39"/>
      <c r="AE906" s="39"/>
      <c r="AK906" s="39"/>
      <c r="AL906" s="39"/>
      <c r="AM906" s="39"/>
      <c r="AS906" s="39"/>
      <c r="AT906" s="39"/>
      <c r="AU906" s="39"/>
      <c r="AZ906" s="40"/>
      <c r="BA906" s="39"/>
      <c r="BB906" s="39"/>
      <c r="BC906" s="39"/>
      <c r="BI906" s="39"/>
      <c r="BJ906" s="39"/>
      <c r="BK906" s="39"/>
      <c r="BQ906" s="39"/>
      <c r="BR906" s="39"/>
      <c r="BS906" s="39"/>
      <c r="BY906" s="39"/>
      <c r="BZ906" s="39"/>
      <c r="CA906" s="39"/>
      <c r="CG906" s="39"/>
      <c r="CH906" s="39"/>
      <c r="CI906" s="39"/>
    </row>
    <row r="907" spans="2:87" ht="15.75" customHeight="1">
      <c r="B907" s="2"/>
      <c r="C907" s="10"/>
      <c r="F907" s="39"/>
      <c r="G907" s="39"/>
      <c r="H907" s="39"/>
      <c r="I907" s="39"/>
      <c r="M907" s="39"/>
      <c r="N907" s="39"/>
      <c r="O907" s="39"/>
      <c r="U907" s="39"/>
      <c r="V907" s="39"/>
      <c r="W907" s="39"/>
      <c r="AC907" s="39"/>
      <c r="AD907" s="39"/>
      <c r="AE907" s="39"/>
      <c r="AK907" s="39"/>
      <c r="AL907" s="39"/>
      <c r="AM907" s="39"/>
      <c r="AS907" s="39"/>
      <c r="AT907" s="39"/>
      <c r="AU907" s="39"/>
      <c r="AZ907" s="40"/>
      <c r="BA907" s="39"/>
      <c r="BB907" s="39"/>
      <c r="BC907" s="39"/>
      <c r="BI907" s="39"/>
      <c r="BJ907" s="39"/>
      <c r="BK907" s="39"/>
      <c r="BQ907" s="39"/>
      <c r="BR907" s="39"/>
      <c r="BS907" s="39"/>
      <c r="BY907" s="39"/>
      <c r="BZ907" s="39"/>
      <c r="CA907" s="39"/>
      <c r="CG907" s="39"/>
      <c r="CH907" s="39"/>
      <c r="CI907" s="39"/>
    </row>
    <row r="908" spans="2:87" ht="15.75" customHeight="1">
      <c r="B908" s="2"/>
      <c r="C908" s="10"/>
      <c r="F908" s="39"/>
      <c r="G908" s="39"/>
      <c r="H908" s="39"/>
      <c r="I908" s="39"/>
      <c r="M908" s="39"/>
      <c r="N908" s="39"/>
      <c r="O908" s="39"/>
      <c r="U908" s="39"/>
      <c r="V908" s="39"/>
      <c r="W908" s="39"/>
      <c r="AC908" s="39"/>
      <c r="AD908" s="39"/>
      <c r="AE908" s="39"/>
      <c r="AK908" s="39"/>
      <c r="AL908" s="39"/>
      <c r="AM908" s="39"/>
      <c r="AS908" s="39"/>
      <c r="AT908" s="39"/>
      <c r="AU908" s="39"/>
      <c r="AZ908" s="40"/>
      <c r="BA908" s="39"/>
      <c r="BB908" s="39"/>
      <c r="BC908" s="39"/>
      <c r="BI908" s="39"/>
      <c r="BJ908" s="39"/>
      <c r="BK908" s="39"/>
      <c r="BQ908" s="39"/>
      <c r="BR908" s="39"/>
      <c r="BS908" s="39"/>
      <c r="BY908" s="39"/>
      <c r="BZ908" s="39"/>
      <c r="CA908" s="39"/>
      <c r="CG908" s="39"/>
      <c r="CH908" s="39"/>
      <c r="CI908" s="39"/>
    </row>
    <row r="909" spans="2:87" ht="15.75" customHeight="1">
      <c r="B909" s="2"/>
      <c r="C909" s="10"/>
      <c r="F909" s="39"/>
      <c r="G909" s="39"/>
      <c r="H909" s="39"/>
      <c r="I909" s="39"/>
      <c r="M909" s="39"/>
      <c r="N909" s="39"/>
      <c r="O909" s="39"/>
      <c r="U909" s="39"/>
      <c r="V909" s="39"/>
      <c r="W909" s="39"/>
      <c r="AC909" s="39"/>
      <c r="AD909" s="39"/>
      <c r="AE909" s="39"/>
      <c r="AK909" s="39"/>
      <c r="AL909" s="39"/>
      <c r="AM909" s="39"/>
      <c r="AS909" s="39"/>
      <c r="AT909" s="39"/>
      <c r="AU909" s="39"/>
      <c r="AZ909" s="40"/>
      <c r="BA909" s="39"/>
      <c r="BB909" s="39"/>
      <c r="BC909" s="39"/>
      <c r="BI909" s="39"/>
      <c r="BJ909" s="39"/>
      <c r="BK909" s="39"/>
      <c r="BQ909" s="39"/>
      <c r="BR909" s="39"/>
      <c r="BS909" s="39"/>
      <c r="BY909" s="39"/>
      <c r="BZ909" s="39"/>
      <c r="CA909" s="39"/>
      <c r="CG909" s="39"/>
      <c r="CH909" s="39"/>
      <c r="CI909" s="39"/>
    </row>
    <row r="910" spans="2:87" ht="15.75" customHeight="1">
      <c r="B910" s="2"/>
      <c r="C910" s="10"/>
      <c r="F910" s="39"/>
      <c r="G910" s="39"/>
      <c r="H910" s="39"/>
      <c r="I910" s="39"/>
      <c r="M910" s="39"/>
      <c r="N910" s="39"/>
      <c r="O910" s="39"/>
      <c r="U910" s="39"/>
      <c r="V910" s="39"/>
      <c r="W910" s="39"/>
      <c r="AC910" s="39"/>
      <c r="AD910" s="39"/>
      <c r="AE910" s="39"/>
      <c r="AK910" s="39"/>
      <c r="AL910" s="39"/>
      <c r="AM910" s="39"/>
      <c r="AS910" s="39"/>
      <c r="AT910" s="39"/>
      <c r="AU910" s="39"/>
      <c r="AZ910" s="40"/>
      <c r="BA910" s="39"/>
      <c r="BB910" s="39"/>
      <c r="BC910" s="39"/>
      <c r="BI910" s="39"/>
      <c r="BJ910" s="39"/>
      <c r="BK910" s="39"/>
      <c r="BQ910" s="39"/>
      <c r="BR910" s="39"/>
      <c r="BS910" s="39"/>
      <c r="BY910" s="39"/>
      <c r="BZ910" s="39"/>
      <c r="CA910" s="39"/>
      <c r="CG910" s="39"/>
      <c r="CH910" s="39"/>
      <c r="CI910" s="39"/>
    </row>
    <row r="911" spans="2:87" ht="15.75" customHeight="1">
      <c r="B911" s="2"/>
      <c r="C911" s="10"/>
      <c r="F911" s="39"/>
      <c r="G911" s="39"/>
      <c r="H911" s="39"/>
      <c r="I911" s="39"/>
      <c r="M911" s="39"/>
      <c r="N911" s="39"/>
      <c r="O911" s="39"/>
      <c r="U911" s="39"/>
      <c r="V911" s="39"/>
      <c r="W911" s="39"/>
      <c r="AC911" s="39"/>
      <c r="AD911" s="39"/>
      <c r="AE911" s="39"/>
      <c r="AK911" s="39"/>
      <c r="AL911" s="39"/>
      <c r="AM911" s="39"/>
      <c r="AS911" s="39"/>
      <c r="AT911" s="39"/>
      <c r="AU911" s="39"/>
      <c r="AZ911" s="40"/>
      <c r="BA911" s="39"/>
      <c r="BB911" s="39"/>
      <c r="BC911" s="39"/>
      <c r="BI911" s="39"/>
      <c r="BJ911" s="39"/>
      <c r="BK911" s="39"/>
      <c r="BQ911" s="39"/>
      <c r="BR911" s="39"/>
      <c r="BS911" s="39"/>
      <c r="BY911" s="39"/>
      <c r="BZ911" s="39"/>
      <c r="CA911" s="39"/>
      <c r="CG911" s="39"/>
      <c r="CH911" s="39"/>
      <c r="CI911" s="39"/>
    </row>
    <row r="912" spans="2:87" ht="15.75" customHeight="1">
      <c r="B912" s="2"/>
      <c r="C912" s="10"/>
      <c r="F912" s="39"/>
      <c r="G912" s="39"/>
      <c r="H912" s="39"/>
      <c r="I912" s="39"/>
      <c r="M912" s="39"/>
      <c r="N912" s="39"/>
      <c r="O912" s="39"/>
      <c r="U912" s="39"/>
      <c r="V912" s="39"/>
      <c r="W912" s="39"/>
      <c r="AC912" s="39"/>
      <c r="AD912" s="39"/>
      <c r="AE912" s="39"/>
      <c r="AK912" s="39"/>
      <c r="AL912" s="39"/>
      <c r="AM912" s="39"/>
      <c r="AS912" s="39"/>
      <c r="AT912" s="39"/>
      <c r="AU912" s="39"/>
      <c r="AZ912" s="40"/>
      <c r="BA912" s="39"/>
      <c r="BB912" s="39"/>
      <c r="BC912" s="39"/>
      <c r="BI912" s="39"/>
      <c r="BJ912" s="39"/>
      <c r="BK912" s="39"/>
      <c r="BQ912" s="39"/>
      <c r="BR912" s="39"/>
      <c r="BS912" s="39"/>
      <c r="BY912" s="39"/>
      <c r="BZ912" s="39"/>
      <c r="CA912" s="39"/>
      <c r="CG912" s="39"/>
      <c r="CH912" s="39"/>
      <c r="CI912" s="39"/>
    </row>
    <row r="913" spans="2:87" ht="15.75" customHeight="1">
      <c r="B913" s="2"/>
      <c r="C913" s="10"/>
      <c r="F913" s="39"/>
      <c r="G913" s="39"/>
      <c r="H913" s="39"/>
      <c r="I913" s="39"/>
      <c r="M913" s="39"/>
      <c r="N913" s="39"/>
      <c r="O913" s="39"/>
      <c r="U913" s="39"/>
      <c r="V913" s="39"/>
      <c r="W913" s="39"/>
      <c r="AC913" s="39"/>
      <c r="AD913" s="39"/>
      <c r="AE913" s="39"/>
      <c r="AK913" s="39"/>
      <c r="AL913" s="39"/>
      <c r="AM913" s="39"/>
      <c r="AS913" s="39"/>
      <c r="AT913" s="39"/>
      <c r="AU913" s="39"/>
      <c r="AZ913" s="40"/>
      <c r="BA913" s="39"/>
      <c r="BB913" s="39"/>
      <c r="BC913" s="39"/>
      <c r="BI913" s="39"/>
      <c r="BJ913" s="39"/>
      <c r="BK913" s="39"/>
      <c r="BQ913" s="39"/>
      <c r="BR913" s="39"/>
      <c r="BS913" s="39"/>
      <c r="BY913" s="39"/>
      <c r="BZ913" s="39"/>
      <c r="CA913" s="39"/>
      <c r="CG913" s="39"/>
      <c r="CH913" s="39"/>
      <c r="CI913" s="39"/>
    </row>
    <row r="914" spans="2:87" ht="15.75" customHeight="1">
      <c r="B914" s="2"/>
      <c r="C914" s="10"/>
      <c r="F914" s="39"/>
      <c r="G914" s="39"/>
      <c r="H914" s="39"/>
      <c r="I914" s="39"/>
      <c r="M914" s="39"/>
      <c r="N914" s="39"/>
      <c r="O914" s="39"/>
      <c r="U914" s="39"/>
      <c r="V914" s="39"/>
      <c r="W914" s="39"/>
      <c r="AC914" s="39"/>
      <c r="AD914" s="39"/>
      <c r="AE914" s="39"/>
      <c r="AK914" s="39"/>
      <c r="AL914" s="39"/>
      <c r="AM914" s="39"/>
      <c r="AS914" s="39"/>
      <c r="AT914" s="39"/>
      <c r="AU914" s="39"/>
      <c r="AZ914" s="40"/>
      <c r="BA914" s="39"/>
      <c r="BB914" s="39"/>
      <c r="BC914" s="39"/>
      <c r="BI914" s="39"/>
      <c r="BJ914" s="39"/>
      <c r="BK914" s="39"/>
      <c r="BQ914" s="39"/>
      <c r="BR914" s="39"/>
      <c r="BS914" s="39"/>
      <c r="BY914" s="39"/>
      <c r="BZ914" s="39"/>
      <c r="CA914" s="39"/>
      <c r="CG914" s="39"/>
      <c r="CH914" s="39"/>
      <c r="CI914" s="39"/>
    </row>
    <row r="915" spans="2:87" ht="15.75" customHeight="1">
      <c r="B915" s="2"/>
      <c r="C915" s="10"/>
      <c r="F915" s="39"/>
      <c r="G915" s="39"/>
      <c r="H915" s="39"/>
      <c r="I915" s="39"/>
      <c r="M915" s="39"/>
      <c r="N915" s="39"/>
      <c r="O915" s="39"/>
      <c r="U915" s="39"/>
      <c r="V915" s="39"/>
      <c r="W915" s="39"/>
      <c r="AC915" s="39"/>
      <c r="AD915" s="39"/>
      <c r="AE915" s="39"/>
      <c r="AK915" s="39"/>
      <c r="AL915" s="39"/>
      <c r="AM915" s="39"/>
      <c r="AS915" s="39"/>
      <c r="AT915" s="39"/>
      <c r="AU915" s="39"/>
      <c r="AZ915" s="40"/>
      <c r="BA915" s="39"/>
      <c r="BB915" s="39"/>
      <c r="BC915" s="39"/>
      <c r="BI915" s="39"/>
      <c r="BJ915" s="39"/>
      <c r="BK915" s="39"/>
      <c r="BQ915" s="39"/>
      <c r="BR915" s="39"/>
      <c r="BS915" s="39"/>
      <c r="BY915" s="39"/>
      <c r="BZ915" s="39"/>
      <c r="CA915" s="39"/>
      <c r="CG915" s="39"/>
      <c r="CH915" s="39"/>
      <c r="CI915" s="39"/>
    </row>
    <row r="916" spans="2:87" ht="15.75" customHeight="1">
      <c r="B916" s="2"/>
      <c r="C916" s="10"/>
      <c r="F916" s="39"/>
      <c r="G916" s="39"/>
      <c r="H916" s="39"/>
      <c r="I916" s="39"/>
      <c r="M916" s="39"/>
      <c r="N916" s="39"/>
      <c r="O916" s="39"/>
      <c r="U916" s="39"/>
      <c r="V916" s="39"/>
      <c r="W916" s="39"/>
      <c r="AC916" s="39"/>
      <c r="AD916" s="39"/>
      <c r="AE916" s="39"/>
      <c r="AK916" s="39"/>
      <c r="AL916" s="39"/>
      <c r="AM916" s="39"/>
      <c r="AS916" s="39"/>
      <c r="AT916" s="39"/>
      <c r="AU916" s="39"/>
      <c r="AZ916" s="40"/>
      <c r="BA916" s="39"/>
      <c r="BB916" s="39"/>
      <c r="BC916" s="39"/>
      <c r="BI916" s="39"/>
      <c r="BJ916" s="39"/>
      <c r="BK916" s="39"/>
      <c r="BQ916" s="39"/>
      <c r="BR916" s="39"/>
      <c r="BS916" s="39"/>
      <c r="BY916" s="39"/>
      <c r="BZ916" s="39"/>
      <c r="CA916" s="39"/>
      <c r="CG916" s="39"/>
      <c r="CH916" s="39"/>
      <c r="CI916" s="39"/>
    </row>
    <row r="917" spans="2:87" ht="15.75" customHeight="1">
      <c r="B917" s="2"/>
      <c r="C917" s="10"/>
      <c r="F917" s="39"/>
      <c r="G917" s="39"/>
      <c r="H917" s="39"/>
      <c r="I917" s="39"/>
      <c r="M917" s="39"/>
      <c r="N917" s="39"/>
      <c r="O917" s="39"/>
      <c r="U917" s="39"/>
      <c r="V917" s="39"/>
      <c r="W917" s="39"/>
      <c r="AC917" s="39"/>
      <c r="AD917" s="39"/>
      <c r="AE917" s="39"/>
      <c r="AK917" s="39"/>
      <c r="AL917" s="39"/>
      <c r="AM917" s="39"/>
      <c r="AS917" s="39"/>
      <c r="AT917" s="39"/>
      <c r="AU917" s="39"/>
      <c r="AZ917" s="40"/>
      <c r="BA917" s="39"/>
      <c r="BB917" s="39"/>
      <c r="BC917" s="39"/>
      <c r="BI917" s="39"/>
      <c r="BJ917" s="39"/>
      <c r="BK917" s="39"/>
      <c r="BQ917" s="39"/>
      <c r="BR917" s="39"/>
      <c r="BS917" s="39"/>
      <c r="BY917" s="39"/>
      <c r="BZ917" s="39"/>
      <c r="CA917" s="39"/>
      <c r="CG917" s="39"/>
      <c r="CH917" s="39"/>
      <c r="CI917" s="39"/>
    </row>
    <row r="918" spans="2:87" ht="15.75" customHeight="1">
      <c r="B918" s="2"/>
      <c r="C918" s="10"/>
      <c r="F918" s="39"/>
      <c r="G918" s="39"/>
      <c r="H918" s="39"/>
      <c r="I918" s="39"/>
      <c r="M918" s="39"/>
      <c r="N918" s="39"/>
      <c r="O918" s="39"/>
      <c r="U918" s="39"/>
      <c r="V918" s="39"/>
      <c r="W918" s="39"/>
      <c r="AC918" s="39"/>
      <c r="AD918" s="39"/>
      <c r="AE918" s="39"/>
      <c r="AK918" s="39"/>
      <c r="AL918" s="39"/>
      <c r="AM918" s="39"/>
      <c r="AS918" s="39"/>
      <c r="AT918" s="39"/>
      <c r="AU918" s="39"/>
      <c r="AZ918" s="40"/>
      <c r="BA918" s="39"/>
      <c r="BB918" s="39"/>
      <c r="BC918" s="39"/>
      <c r="BI918" s="39"/>
      <c r="BJ918" s="39"/>
      <c r="BK918" s="39"/>
      <c r="BQ918" s="39"/>
      <c r="BR918" s="39"/>
      <c r="BS918" s="39"/>
      <c r="BY918" s="39"/>
      <c r="BZ918" s="39"/>
      <c r="CA918" s="39"/>
      <c r="CG918" s="39"/>
      <c r="CH918" s="39"/>
      <c r="CI918" s="39"/>
    </row>
    <row r="919" spans="2:87" ht="15.75" customHeight="1">
      <c r="B919" s="2"/>
      <c r="C919" s="10"/>
      <c r="F919" s="39"/>
      <c r="G919" s="39"/>
      <c r="H919" s="39"/>
      <c r="I919" s="39"/>
      <c r="M919" s="39"/>
      <c r="N919" s="39"/>
      <c r="O919" s="39"/>
      <c r="U919" s="39"/>
      <c r="V919" s="39"/>
      <c r="W919" s="39"/>
      <c r="AC919" s="39"/>
      <c r="AD919" s="39"/>
      <c r="AE919" s="39"/>
      <c r="AK919" s="39"/>
      <c r="AL919" s="39"/>
      <c r="AM919" s="39"/>
      <c r="AS919" s="39"/>
      <c r="AT919" s="39"/>
      <c r="AU919" s="39"/>
      <c r="AZ919" s="40"/>
      <c r="BA919" s="39"/>
      <c r="BB919" s="39"/>
      <c r="BC919" s="39"/>
      <c r="BI919" s="39"/>
      <c r="BJ919" s="39"/>
      <c r="BK919" s="39"/>
      <c r="BQ919" s="39"/>
      <c r="BR919" s="39"/>
      <c r="BS919" s="39"/>
      <c r="BY919" s="39"/>
      <c r="BZ919" s="39"/>
      <c r="CA919" s="39"/>
      <c r="CG919" s="39"/>
      <c r="CH919" s="39"/>
      <c r="CI919" s="39"/>
    </row>
    <row r="920" spans="2:87" ht="15.75" customHeight="1">
      <c r="B920" s="2"/>
      <c r="C920" s="10"/>
      <c r="F920" s="39"/>
      <c r="G920" s="39"/>
      <c r="H920" s="39"/>
      <c r="I920" s="39"/>
      <c r="M920" s="39"/>
      <c r="N920" s="39"/>
      <c r="O920" s="39"/>
      <c r="U920" s="39"/>
      <c r="V920" s="39"/>
      <c r="W920" s="39"/>
      <c r="AC920" s="39"/>
      <c r="AD920" s="39"/>
      <c r="AE920" s="39"/>
      <c r="AK920" s="39"/>
      <c r="AL920" s="39"/>
      <c r="AM920" s="39"/>
      <c r="AS920" s="39"/>
      <c r="AT920" s="39"/>
      <c r="AU920" s="39"/>
      <c r="AZ920" s="40"/>
      <c r="BA920" s="39"/>
      <c r="BB920" s="39"/>
      <c r="BC920" s="39"/>
      <c r="BI920" s="39"/>
      <c r="BJ920" s="39"/>
      <c r="BK920" s="39"/>
      <c r="BQ920" s="39"/>
      <c r="BR920" s="39"/>
      <c r="BS920" s="39"/>
      <c r="BY920" s="39"/>
      <c r="BZ920" s="39"/>
      <c r="CA920" s="39"/>
      <c r="CG920" s="39"/>
      <c r="CH920" s="39"/>
      <c r="CI920" s="39"/>
    </row>
    <row r="921" spans="2:87" ht="15.75" customHeight="1">
      <c r="B921" s="2"/>
      <c r="C921" s="10"/>
      <c r="F921" s="39"/>
      <c r="G921" s="39"/>
      <c r="H921" s="39"/>
      <c r="I921" s="39"/>
      <c r="M921" s="39"/>
      <c r="N921" s="39"/>
      <c r="O921" s="39"/>
      <c r="U921" s="39"/>
      <c r="V921" s="39"/>
      <c r="W921" s="39"/>
      <c r="AC921" s="39"/>
      <c r="AD921" s="39"/>
      <c r="AE921" s="39"/>
      <c r="AK921" s="39"/>
      <c r="AL921" s="39"/>
      <c r="AM921" s="39"/>
      <c r="AS921" s="39"/>
      <c r="AT921" s="39"/>
      <c r="AU921" s="39"/>
      <c r="AZ921" s="40"/>
      <c r="BA921" s="39"/>
      <c r="BB921" s="39"/>
      <c r="BC921" s="39"/>
      <c r="BI921" s="39"/>
      <c r="BJ921" s="39"/>
      <c r="BK921" s="39"/>
      <c r="BQ921" s="39"/>
      <c r="BR921" s="39"/>
      <c r="BS921" s="39"/>
      <c r="BY921" s="39"/>
      <c r="BZ921" s="39"/>
      <c r="CA921" s="39"/>
      <c r="CG921" s="39"/>
      <c r="CH921" s="39"/>
      <c r="CI921" s="39"/>
    </row>
    <row r="922" spans="2:87" ht="15.75" customHeight="1">
      <c r="B922" s="2"/>
      <c r="C922" s="10"/>
      <c r="F922" s="39"/>
      <c r="G922" s="39"/>
      <c r="H922" s="39"/>
      <c r="I922" s="39"/>
      <c r="M922" s="39"/>
      <c r="N922" s="39"/>
      <c r="O922" s="39"/>
      <c r="U922" s="39"/>
      <c r="V922" s="39"/>
      <c r="W922" s="39"/>
      <c r="AC922" s="39"/>
      <c r="AD922" s="39"/>
      <c r="AE922" s="39"/>
      <c r="AK922" s="39"/>
      <c r="AL922" s="39"/>
      <c r="AM922" s="39"/>
      <c r="AS922" s="39"/>
      <c r="AT922" s="39"/>
      <c r="AU922" s="39"/>
      <c r="AZ922" s="40"/>
      <c r="BA922" s="39"/>
      <c r="BB922" s="39"/>
      <c r="BC922" s="39"/>
      <c r="BI922" s="39"/>
      <c r="BJ922" s="39"/>
      <c r="BK922" s="39"/>
      <c r="BQ922" s="39"/>
      <c r="BR922" s="39"/>
      <c r="BS922" s="39"/>
      <c r="BY922" s="39"/>
      <c r="BZ922" s="39"/>
      <c r="CA922" s="39"/>
      <c r="CG922" s="39"/>
      <c r="CH922" s="39"/>
      <c r="CI922" s="39"/>
    </row>
    <row r="923" spans="2:87" ht="15.75" customHeight="1">
      <c r="B923" s="2"/>
      <c r="C923" s="10"/>
      <c r="F923" s="39"/>
      <c r="G923" s="39"/>
      <c r="H923" s="39"/>
      <c r="I923" s="39"/>
      <c r="M923" s="39"/>
      <c r="N923" s="39"/>
      <c r="O923" s="39"/>
      <c r="U923" s="39"/>
      <c r="V923" s="39"/>
      <c r="W923" s="39"/>
      <c r="AC923" s="39"/>
      <c r="AD923" s="39"/>
      <c r="AE923" s="39"/>
      <c r="AK923" s="39"/>
      <c r="AL923" s="39"/>
      <c r="AM923" s="39"/>
      <c r="AS923" s="39"/>
      <c r="AT923" s="39"/>
      <c r="AU923" s="39"/>
      <c r="AZ923" s="40"/>
      <c r="BA923" s="39"/>
      <c r="BB923" s="39"/>
      <c r="BC923" s="39"/>
      <c r="BI923" s="39"/>
      <c r="BJ923" s="39"/>
      <c r="BK923" s="39"/>
      <c r="BQ923" s="39"/>
      <c r="BR923" s="39"/>
      <c r="BS923" s="39"/>
      <c r="BY923" s="39"/>
      <c r="BZ923" s="39"/>
      <c r="CA923" s="39"/>
      <c r="CG923" s="39"/>
      <c r="CH923" s="39"/>
      <c r="CI923" s="39"/>
    </row>
    <row r="924" spans="2:87" ht="15.75" customHeight="1">
      <c r="B924" s="2"/>
      <c r="C924" s="10"/>
      <c r="F924" s="39"/>
      <c r="G924" s="39"/>
      <c r="H924" s="39"/>
      <c r="I924" s="39"/>
      <c r="M924" s="39"/>
      <c r="N924" s="39"/>
      <c r="O924" s="39"/>
      <c r="U924" s="39"/>
      <c r="V924" s="39"/>
      <c r="W924" s="39"/>
      <c r="AC924" s="39"/>
      <c r="AD924" s="39"/>
      <c r="AE924" s="39"/>
      <c r="AK924" s="39"/>
      <c r="AL924" s="39"/>
      <c r="AM924" s="39"/>
      <c r="AS924" s="39"/>
      <c r="AT924" s="39"/>
      <c r="AU924" s="39"/>
      <c r="AZ924" s="40"/>
      <c r="BA924" s="39"/>
      <c r="BB924" s="39"/>
      <c r="BC924" s="39"/>
      <c r="BI924" s="39"/>
      <c r="BJ924" s="39"/>
      <c r="BK924" s="39"/>
      <c r="BQ924" s="39"/>
      <c r="BR924" s="39"/>
      <c r="BS924" s="39"/>
      <c r="BY924" s="39"/>
      <c r="BZ924" s="39"/>
      <c r="CA924" s="39"/>
      <c r="CG924" s="39"/>
      <c r="CH924" s="39"/>
      <c r="CI924" s="39"/>
    </row>
    <row r="925" spans="2:87" ht="15.75" customHeight="1">
      <c r="B925" s="2"/>
      <c r="C925" s="10"/>
      <c r="F925" s="39"/>
      <c r="G925" s="39"/>
      <c r="H925" s="39"/>
      <c r="I925" s="39"/>
      <c r="M925" s="39"/>
      <c r="N925" s="39"/>
      <c r="O925" s="39"/>
      <c r="U925" s="39"/>
      <c r="V925" s="39"/>
      <c r="W925" s="39"/>
      <c r="AC925" s="39"/>
      <c r="AD925" s="39"/>
      <c r="AE925" s="39"/>
      <c r="AK925" s="39"/>
      <c r="AL925" s="39"/>
      <c r="AM925" s="39"/>
      <c r="AS925" s="39"/>
      <c r="AT925" s="39"/>
      <c r="AU925" s="39"/>
      <c r="AZ925" s="40"/>
      <c r="BA925" s="39"/>
      <c r="BB925" s="39"/>
      <c r="BC925" s="39"/>
      <c r="BI925" s="39"/>
      <c r="BJ925" s="39"/>
      <c r="BK925" s="39"/>
      <c r="BQ925" s="39"/>
      <c r="BR925" s="39"/>
      <c r="BS925" s="39"/>
      <c r="BY925" s="39"/>
      <c r="BZ925" s="39"/>
      <c r="CA925" s="39"/>
      <c r="CG925" s="39"/>
      <c r="CH925" s="39"/>
      <c r="CI925" s="39"/>
    </row>
    <row r="926" spans="2:87" ht="15.75" customHeight="1">
      <c r="B926" s="2"/>
      <c r="C926" s="10"/>
      <c r="F926" s="39"/>
      <c r="G926" s="39"/>
      <c r="H926" s="39"/>
      <c r="I926" s="39"/>
      <c r="M926" s="39"/>
      <c r="N926" s="39"/>
      <c r="O926" s="39"/>
      <c r="U926" s="39"/>
      <c r="V926" s="39"/>
      <c r="W926" s="39"/>
      <c r="AC926" s="39"/>
      <c r="AD926" s="39"/>
      <c r="AE926" s="39"/>
      <c r="AK926" s="39"/>
      <c r="AL926" s="39"/>
      <c r="AM926" s="39"/>
      <c r="AS926" s="39"/>
      <c r="AT926" s="39"/>
      <c r="AU926" s="39"/>
      <c r="AZ926" s="40"/>
      <c r="BA926" s="39"/>
      <c r="BB926" s="39"/>
      <c r="BC926" s="39"/>
      <c r="BI926" s="39"/>
      <c r="BJ926" s="39"/>
      <c r="BK926" s="39"/>
      <c r="BQ926" s="39"/>
      <c r="BR926" s="39"/>
      <c r="BS926" s="39"/>
      <c r="BY926" s="39"/>
      <c r="BZ926" s="39"/>
      <c r="CA926" s="39"/>
      <c r="CG926" s="39"/>
      <c r="CH926" s="39"/>
      <c r="CI926" s="39"/>
    </row>
    <row r="927" spans="2:87" ht="15.75" customHeight="1">
      <c r="B927" s="2"/>
      <c r="C927" s="10"/>
      <c r="F927" s="39"/>
      <c r="G927" s="39"/>
      <c r="H927" s="39"/>
      <c r="I927" s="39"/>
      <c r="M927" s="39"/>
      <c r="N927" s="39"/>
      <c r="O927" s="39"/>
      <c r="U927" s="39"/>
      <c r="V927" s="39"/>
      <c r="W927" s="39"/>
      <c r="AC927" s="39"/>
      <c r="AD927" s="39"/>
      <c r="AE927" s="39"/>
      <c r="AK927" s="39"/>
      <c r="AL927" s="39"/>
      <c r="AM927" s="39"/>
      <c r="AS927" s="39"/>
      <c r="AT927" s="39"/>
      <c r="AU927" s="39"/>
      <c r="AZ927" s="40"/>
      <c r="BA927" s="39"/>
      <c r="BB927" s="39"/>
      <c r="BC927" s="39"/>
      <c r="BI927" s="39"/>
      <c r="BJ927" s="39"/>
      <c r="BK927" s="39"/>
      <c r="BQ927" s="39"/>
      <c r="BR927" s="39"/>
      <c r="BS927" s="39"/>
      <c r="BY927" s="39"/>
      <c r="BZ927" s="39"/>
      <c r="CA927" s="39"/>
      <c r="CG927" s="39"/>
      <c r="CH927" s="39"/>
      <c r="CI927" s="39"/>
    </row>
    <row r="928" spans="2:87" ht="15.75" customHeight="1">
      <c r="B928" s="2"/>
      <c r="C928" s="10"/>
      <c r="F928" s="39"/>
      <c r="G928" s="39"/>
      <c r="H928" s="39"/>
      <c r="I928" s="39"/>
      <c r="M928" s="39"/>
      <c r="N928" s="39"/>
      <c r="O928" s="39"/>
      <c r="U928" s="39"/>
      <c r="V928" s="39"/>
      <c r="W928" s="39"/>
      <c r="AC928" s="39"/>
      <c r="AD928" s="39"/>
      <c r="AE928" s="39"/>
      <c r="AK928" s="39"/>
      <c r="AL928" s="39"/>
      <c r="AM928" s="39"/>
      <c r="AS928" s="39"/>
      <c r="AT928" s="39"/>
      <c r="AU928" s="39"/>
      <c r="AZ928" s="40"/>
      <c r="BA928" s="39"/>
      <c r="BB928" s="39"/>
      <c r="BC928" s="39"/>
      <c r="BI928" s="39"/>
      <c r="BJ928" s="39"/>
      <c r="BK928" s="39"/>
      <c r="BQ928" s="39"/>
      <c r="BR928" s="39"/>
      <c r="BS928" s="39"/>
      <c r="BY928" s="39"/>
      <c r="BZ928" s="39"/>
      <c r="CA928" s="39"/>
      <c r="CG928" s="39"/>
      <c r="CH928" s="39"/>
      <c r="CI928" s="39"/>
    </row>
    <row r="929" spans="2:87" ht="15.75" customHeight="1">
      <c r="B929" s="2"/>
      <c r="C929" s="10"/>
      <c r="F929" s="39"/>
      <c r="G929" s="39"/>
      <c r="H929" s="39"/>
      <c r="I929" s="39"/>
      <c r="M929" s="39"/>
      <c r="N929" s="39"/>
      <c r="O929" s="39"/>
      <c r="U929" s="39"/>
      <c r="V929" s="39"/>
      <c r="W929" s="39"/>
      <c r="AC929" s="39"/>
      <c r="AD929" s="39"/>
      <c r="AE929" s="39"/>
      <c r="AK929" s="39"/>
      <c r="AL929" s="39"/>
      <c r="AM929" s="39"/>
      <c r="AS929" s="39"/>
      <c r="AT929" s="39"/>
      <c r="AU929" s="39"/>
      <c r="AZ929" s="40"/>
      <c r="BA929" s="39"/>
      <c r="BB929" s="39"/>
      <c r="BC929" s="39"/>
      <c r="BI929" s="39"/>
      <c r="BJ929" s="39"/>
      <c r="BK929" s="39"/>
      <c r="BQ929" s="39"/>
      <c r="BR929" s="39"/>
      <c r="BS929" s="39"/>
      <c r="BY929" s="39"/>
      <c r="BZ929" s="39"/>
      <c r="CA929" s="39"/>
      <c r="CG929" s="39"/>
      <c r="CH929" s="39"/>
      <c r="CI929" s="39"/>
    </row>
    <row r="930" spans="2:87" ht="15.75" customHeight="1">
      <c r="B930" s="2"/>
      <c r="C930" s="10"/>
      <c r="F930" s="39"/>
      <c r="G930" s="39"/>
      <c r="H930" s="39"/>
      <c r="I930" s="39"/>
      <c r="M930" s="39"/>
      <c r="N930" s="39"/>
      <c r="O930" s="39"/>
      <c r="U930" s="39"/>
      <c r="V930" s="39"/>
      <c r="W930" s="39"/>
      <c r="AC930" s="39"/>
      <c r="AD930" s="39"/>
      <c r="AE930" s="39"/>
      <c r="AK930" s="39"/>
      <c r="AL930" s="39"/>
      <c r="AM930" s="39"/>
      <c r="AS930" s="39"/>
      <c r="AT930" s="39"/>
      <c r="AU930" s="39"/>
      <c r="AZ930" s="40"/>
      <c r="BA930" s="39"/>
      <c r="BB930" s="39"/>
      <c r="BC930" s="39"/>
      <c r="BI930" s="39"/>
      <c r="BJ930" s="39"/>
      <c r="BK930" s="39"/>
      <c r="BQ930" s="39"/>
      <c r="BR930" s="39"/>
      <c r="BS930" s="39"/>
      <c r="BY930" s="39"/>
      <c r="BZ930" s="39"/>
      <c r="CA930" s="39"/>
      <c r="CG930" s="39"/>
      <c r="CH930" s="39"/>
      <c r="CI930" s="39"/>
    </row>
    <row r="931" spans="2:87" ht="15.75" customHeight="1">
      <c r="B931" s="2"/>
      <c r="C931" s="10"/>
      <c r="F931" s="39"/>
      <c r="G931" s="39"/>
      <c r="H931" s="39"/>
      <c r="I931" s="39"/>
      <c r="M931" s="39"/>
      <c r="N931" s="39"/>
      <c r="O931" s="39"/>
      <c r="U931" s="39"/>
      <c r="V931" s="39"/>
      <c r="W931" s="39"/>
      <c r="AC931" s="39"/>
      <c r="AD931" s="39"/>
      <c r="AE931" s="39"/>
      <c r="AK931" s="39"/>
      <c r="AL931" s="39"/>
      <c r="AM931" s="39"/>
      <c r="AS931" s="39"/>
      <c r="AT931" s="39"/>
      <c r="AU931" s="39"/>
      <c r="AZ931" s="40"/>
      <c r="BA931" s="39"/>
      <c r="BB931" s="39"/>
      <c r="BC931" s="39"/>
      <c r="BI931" s="39"/>
      <c r="BJ931" s="39"/>
      <c r="BK931" s="39"/>
      <c r="BQ931" s="39"/>
      <c r="BR931" s="39"/>
      <c r="BS931" s="39"/>
      <c r="BY931" s="39"/>
      <c r="BZ931" s="39"/>
      <c r="CA931" s="39"/>
      <c r="CG931" s="39"/>
      <c r="CH931" s="39"/>
      <c r="CI931" s="39"/>
    </row>
    <row r="932" spans="2:87" ht="15.75" customHeight="1">
      <c r="B932" s="2"/>
      <c r="C932" s="10"/>
      <c r="F932" s="39"/>
      <c r="G932" s="39"/>
      <c r="H932" s="39"/>
      <c r="I932" s="39"/>
      <c r="M932" s="39"/>
      <c r="N932" s="39"/>
      <c r="O932" s="39"/>
      <c r="U932" s="39"/>
      <c r="V932" s="39"/>
      <c r="W932" s="39"/>
      <c r="AC932" s="39"/>
      <c r="AD932" s="39"/>
      <c r="AE932" s="39"/>
      <c r="AK932" s="39"/>
      <c r="AL932" s="39"/>
      <c r="AM932" s="39"/>
      <c r="AS932" s="39"/>
      <c r="AT932" s="39"/>
      <c r="AU932" s="39"/>
      <c r="AZ932" s="40"/>
      <c r="BA932" s="39"/>
      <c r="BB932" s="39"/>
      <c r="BC932" s="39"/>
      <c r="BI932" s="39"/>
      <c r="BJ932" s="39"/>
      <c r="BK932" s="39"/>
      <c r="BQ932" s="39"/>
      <c r="BR932" s="39"/>
      <c r="BS932" s="39"/>
      <c r="BY932" s="39"/>
      <c r="BZ932" s="39"/>
      <c r="CA932" s="39"/>
      <c r="CG932" s="39"/>
      <c r="CH932" s="39"/>
      <c r="CI932" s="39"/>
    </row>
    <row r="933" spans="2:87" ht="15.75" customHeight="1">
      <c r="B933" s="2"/>
      <c r="C933" s="10"/>
      <c r="F933" s="39"/>
      <c r="G933" s="39"/>
      <c r="H933" s="39"/>
      <c r="I933" s="39"/>
      <c r="M933" s="39"/>
      <c r="N933" s="39"/>
      <c r="O933" s="39"/>
      <c r="U933" s="39"/>
      <c r="V933" s="39"/>
      <c r="W933" s="39"/>
      <c r="AC933" s="39"/>
      <c r="AD933" s="39"/>
      <c r="AE933" s="39"/>
      <c r="AK933" s="39"/>
      <c r="AL933" s="39"/>
      <c r="AM933" s="39"/>
      <c r="AS933" s="39"/>
      <c r="AT933" s="39"/>
      <c r="AU933" s="39"/>
      <c r="AZ933" s="40"/>
      <c r="BA933" s="39"/>
      <c r="BB933" s="39"/>
      <c r="BC933" s="39"/>
      <c r="BI933" s="39"/>
      <c r="BJ933" s="39"/>
      <c r="BK933" s="39"/>
      <c r="BQ933" s="39"/>
      <c r="BR933" s="39"/>
      <c r="BS933" s="39"/>
      <c r="BY933" s="39"/>
      <c r="BZ933" s="39"/>
      <c r="CA933" s="39"/>
      <c r="CG933" s="39"/>
      <c r="CH933" s="39"/>
      <c r="CI933" s="39"/>
    </row>
    <row r="934" spans="2:87" ht="15.75" customHeight="1">
      <c r="B934" s="2"/>
      <c r="C934" s="10"/>
      <c r="F934" s="39"/>
      <c r="G934" s="39"/>
      <c r="H934" s="39"/>
      <c r="I934" s="39"/>
      <c r="M934" s="39"/>
      <c r="N934" s="39"/>
      <c r="O934" s="39"/>
      <c r="U934" s="39"/>
      <c r="V934" s="39"/>
      <c r="W934" s="39"/>
      <c r="AC934" s="39"/>
      <c r="AD934" s="39"/>
      <c r="AE934" s="39"/>
      <c r="AK934" s="39"/>
      <c r="AL934" s="39"/>
      <c r="AM934" s="39"/>
      <c r="AS934" s="39"/>
      <c r="AT934" s="39"/>
      <c r="AU934" s="39"/>
      <c r="AZ934" s="40"/>
      <c r="BA934" s="39"/>
      <c r="BB934" s="39"/>
      <c r="BC934" s="39"/>
      <c r="BI934" s="39"/>
      <c r="BJ934" s="39"/>
      <c r="BK934" s="39"/>
      <c r="BQ934" s="39"/>
      <c r="BR934" s="39"/>
      <c r="BS934" s="39"/>
      <c r="BY934" s="39"/>
      <c r="BZ934" s="39"/>
      <c r="CA934" s="39"/>
      <c r="CG934" s="39"/>
      <c r="CH934" s="39"/>
      <c r="CI934" s="39"/>
    </row>
    <row r="935" spans="2:87" ht="15.75" customHeight="1">
      <c r="B935" s="2"/>
      <c r="C935" s="10"/>
      <c r="F935" s="39"/>
      <c r="G935" s="39"/>
      <c r="H935" s="39"/>
      <c r="I935" s="39"/>
      <c r="M935" s="39"/>
      <c r="N935" s="39"/>
      <c r="O935" s="39"/>
      <c r="U935" s="39"/>
      <c r="V935" s="39"/>
      <c r="W935" s="39"/>
      <c r="AC935" s="39"/>
      <c r="AD935" s="39"/>
      <c r="AE935" s="39"/>
      <c r="AK935" s="39"/>
      <c r="AL935" s="39"/>
      <c r="AM935" s="39"/>
      <c r="AS935" s="39"/>
      <c r="AT935" s="39"/>
      <c r="AU935" s="39"/>
      <c r="AZ935" s="40"/>
      <c r="BA935" s="39"/>
      <c r="BB935" s="39"/>
      <c r="BC935" s="39"/>
      <c r="BI935" s="39"/>
      <c r="BJ935" s="39"/>
      <c r="BK935" s="39"/>
      <c r="BQ935" s="39"/>
      <c r="BR935" s="39"/>
      <c r="BS935" s="39"/>
      <c r="BY935" s="39"/>
      <c r="BZ935" s="39"/>
      <c r="CA935" s="39"/>
      <c r="CG935" s="39"/>
      <c r="CH935" s="39"/>
      <c r="CI935" s="39"/>
    </row>
    <row r="936" spans="2:87" ht="15.75" customHeight="1">
      <c r="B936" s="2"/>
      <c r="C936" s="10"/>
      <c r="F936" s="39"/>
      <c r="G936" s="39"/>
      <c r="H936" s="39"/>
      <c r="I936" s="39"/>
      <c r="M936" s="39"/>
      <c r="N936" s="39"/>
      <c r="O936" s="39"/>
      <c r="U936" s="39"/>
      <c r="V936" s="39"/>
      <c r="W936" s="39"/>
      <c r="AC936" s="39"/>
      <c r="AD936" s="39"/>
      <c r="AE936" s="39"/>
      <c r="AK936" s="39"/>
      <c r="AL936" s="39"/>
      <c r="AM936" s="39"/>
      <c r="AS936" s="39"/>
      <c r="AT936" s="39"/>
      <c r="AU936" s="39"/>
      <c r="AZ936" s="40"/>
      <c r="BA936" s="39"/>
      <c r="BB936" s="39"/>
      <c r="BC936" s="39"/>
      <c r="BI936" s="39"/>
      <c r="BJ936" s="39"/>
      <c r="BK936" s="39"/>
      <c r="BQ936" s="39"/>
      <c r="BR936" s="39"/>
      <c r="BS936" s="39"/>
      <c r="BY936" s="39"/>
      <c r="BZ936" s="39"/>
      <c r="CA936" s="39"/>
      <c r="CG936" s="39"/>
      <c r="CH936" s="39"/>
      <c r="CI936" s="39"/>
    </row>
    <row r="937" spans="2:87" ht="15.75" customHeight="1">
      <c r="B937" s="2"/>
      <c r="C937" s="10"/>
      <c r="F937" s="39"/>
      <c r="G937" s="39"/>
      <c r="H937" s="39"/>
      <c r="I937" s="39"/>
      <c r="M937" s="39"/>
      <c r="N937" s="39"/>
      <c r="O937" s="39"/>
      <c r="U937" s="39"/>
      <c r="V937" s="39"/>
      <c r="W937" s="39"/>
      <c r="AC937" s="39"/>
      <c r="AD937" s="39"/>
      <c r="AE937" s="39"/>
      <c r="AK937" s="39"/>
      <c r="AL937" s="39"/>
      <c r="AM937" s="39"/>
      <c r="AS937" s="39"/>
      <c r="AT937" s="39"/>
      <c r="AU937" s="39"/>
      <c r="AZ937" s="40"/>
      <c r="BA937" s="39"/>
      <c r="BB937" s="39"/>
      <c r="BC937" s="39"/>
      <c r="BI937" s="39"/>
      <c r="BJ937" s="39"/>
      <c r="BK937" s="39"/>
      <c r="BQ937" s="39"/>
      <c r="BR937" s="39"/>
      <c r="BS937" s="39"/>
      <c r="BY937" s="39"/>
      <c r="BZ937" s="39"/>
      <c r="CA937" s="39"/>
      <c r="CG937" s="39"/>
      <c r="CH937" s="39"/>
      <c r="CI937" s="39"/>
    </row>
    <row r="938" spans="2:87" ht="15.75" customHeight="1">
      <c r="B938" s="2"/>
      <c r="C938" s="10"/>
      <c r="F938" s="39"/>
      <c r="G938" s="39"/>
      <c r="H938" s="39"/>
      <c r="I938" s="39"/>
      <c r="M938" s="39"/>
      <c r="N938" s="39"/>
      <c r="O938" s="39"/>
      <c r="U938" s="39"/>
      <c r="V938" s="39"/>
      <c r="W938" s="39"/>
      <c r="AC938" s="39"/>
      <c r="AD938" s="39"/>
      <c r="AE938" s="39"/>
      <c r="AK938" s="39"/>
      <c r="AL938" s="39"/>
      <c r="AM938" s="39"/>
      <c r="AS938" s="39"/>
      <c r="AT938" s="39"/>
      <c r="AU938" s="39"/>
      <c r="AZ938" s="40"/>
      <c r="BA938" s="39"/>
      <c r="BB938" s="39"/>
      <c r="BC938" s="39"/>
      <c r="BI938" s="39"/>
      <c r="BJ938" s="39"/>
      <c r="BK938" s="39"/>
      <c r="BQ938" s="39"/>
      <c r="BR938" s="39"/>
      <c r="BS938" s="39"/>
      <c r="BY938" s="39"/>
      <c r="BZ938" s="39"/>
      <c r="CA938" s="39"/>
      <c r="CG938" s="39"/>
      <c r="CH938" s="39"/>
      <c r="CI938" s="39"/>
    </row>
    <row r="939" spans="2:87" ht="15.75" customHeight="1">
      <c r="B939" s="2"/>
      <c r="C939" s="10"/>
      <c r="F939" s="39"/>
      <c r="G939" s="39"/>
      <c r="H939" s="39"/>
      <c r="I939" s="39"/>
      <c r="M939" s="39"/>
      <c r="N939" s="39"/>
      <c r="O939" s="39"/>
      <c r="U939" s="39"/>
      <c r="V939" s="39"/>
      <c r="W939" s="39"/>
      <c r="AC939" s="39"/>
      <c r="AD939" s="39"/>
      <c r="AE939" s="39"/>
      <c r="AK939" s="39"/>
      <c r="AL939" s="39"/>
      <c r="AM939" s="39"/>
      <c r="AS939" s="39"/>
      <c r="AT939" s="39"/>
      <c r="AU939" s="39"/>
      <c r="AZ939" s="40"/>
      <c r="BA939" s="39"/>
      <c r="BB939" s="39"/>
      <c r="BC939" s="39"/>
      <c r="BI939" s="39"/>
      <c r="BJ939" s="39"/>
      <c r="BK939" s="39"/>
      <c r="BQ939" s="39"/>
      <c r="BR939" s="39"/>
      <c r="BS939" s="39"/>
      <c r="BY939" s="39"/>
      <c r="BZ939" s="39"/>
      <c r="CA939" s="39"/>
      <c r="CG939" s="39"/>
      <c r="CH939" s="39"/>
      <c r="CI939" s="39"/>
    </row>
    <row r="940" spans="2:87" ht="15.75" customHeight="1">
      <c r="B940" s="2"/>
      <c r="C940" s="10"/>
      <c r="F940" s="39"/>
      <c r="G940" s="39"/>
      <c r="H940" s="39"/>
      <c r="I940" s="39"/>
      <c r="M940" s="39"/>
      <c r="N940" s="39"/>
      <c r="O940" s="39"/>
      <c r="U940" s="39"/>
      <c r="V940" s="39"/>
      <c r="W940" s="39"/>
      <c r="AC940" s="39"/>
      <c r="AD940" s="39"/>
      <c r="AE940" s="39"/>
      <c r="AK940" s="39"/>
      <c r="AL940" s="39"/>
      <c r="AM940" s="39"/>
      <c r="AS940" s="39"/>
      <c r="AT940" s="39"/>
      <c r="AU940" s="39"/>
      <c r="AZ940" s="40"/>
      <c r="BA940" s="39"/>
      <c r="BB940" s="39"/>
      <c r="BC940" s="39"/>
      <c r="BI940" s="39"/>
      <c r="BJ940" s="39"/>
      <c r="BK940" s="39"/>
      <c r="BQ940" s="39"/>
      <c r="BR940" s="39"/>
      <c r="BS940" s="39"/>
      <c r="BY940" s="39"/>
      <c r="BZ940" s="39"/>
      <c r="CA940" s="39"/>
      <c r="CG940" s="39"/>
      <c r="CH940" s="39"/>
      <c r="CI940" s="39"/>
    </row>
    <row r="941" spans="2:87" ht="15.75" customHeight="1">
      <c r="B941" s="2"/>
      <c r="C941" s="10"/>
      <c r="F941" s="39"/>
      <c r="G941" s="39"/>
      <c r="H941" s="39"/>
      <c r="I941" s="39"/>
      <c r="M941" s="39"/>
      <c r="N941" s="39"/>
      <c r="O941" s="39"/>
      <c r="U941" s="39"/>
      <c r="V941" s="39"/>
      <c r="W941" s="39"/>
      <c r="AC941" s="39"/>
      <c r="AD941" s="39"/>
      <c r="AE941" s="39"/>
      <c r="AK941" s="39"/>
      <c r="AL941" s="39"/>
      <c r="AM941" s="39"/>
      <c r="AS941" s="39"/>
      <c r="AT941" s="39"/>
      <c r="AU941" s="39"/>
      <c r="AZ941" s="40"/>
      <c r="BA941" s="39"/>
      <c r="BB941" s="39"/>
      <c r="BC941" s="39"/>
      <c r="BI941" s="39"/>
      <c r="BJ941" s="39"/>
      <c r="BK941" s="39"/>
      <c r="BQ941" s="39"/>
      <c r="BR941" s="39"/>
      <c r="BS941" s="39"/>
      <c r="BY941" s="39"/>
      <c r="BZ941" s="39"/>
      <c r="CA941" s="39"/>
      <c r="CG941" s="39"/>
      <c r="CH941" s="39"/>
      <c r="CI941" s="39"/>
    </row>
    <row r="942" spans="2:87" ht="15.75" customHeight="1">
      <c r="B942" s="2"/>
      <c r="C942" s="10"/>
      <c r="F942" s="39"/>
      <c r="G942" s="39"/>
      <c r="H942" s="39"/>
      <c r="I942" s="39"/>
      <c r="M942" s="39"/>
      <c r="N942" s="39"/>
      <c r="O942" s="39"/>
      <c r="U942" s="39"/>
      <c r="V942" s="39"/>
      <c r="W942" s="39"/>
      <c r="AC942" s="39"/>
      <c r="AD942" s="39"/>
      <c r="AE942" s="39"/>
      <c r="AK942" s="39"/>
      <c r="AL942" s="39"/>
      <c r="AM942" s="39"/>
      <c r="AS942" s="39"/>
      <c r="AT942" s="39"/>
      <c r="AU942" s="39"/>
      <c r="AZ942" s="40"/>
      <c r="BA942" s="39"/>
      <c r="BB942" s="39"/>
      <c r="BC942" s="39"/>
      <c r="BI942" s="39"/>
      <c r="BJ942" s="39"/>
      <c r="BK942" s="39"/>
      <c r="BQ942" s="39"/>
      <c r="BR942" s="39"/>
      <c r="BS942" s="39"/>
      <c r="BY942" s="39"/>
      <c r="BZ942" s="39"/>
      <c r="CA942" s="39"/>
      <c r="CG942" s="39"/>
      <c r="CH942" s="39"/>
      <c r="CI942" s="39"/>
    </row>
    <row r="943" spans="2:87" ht="15.75" customHeight="1">
      <c r="B943" s="2"/>
      <c r="C943" s="10"/>
      <c r="F943" s="39"/>
      <c r="G943" s="39"/>
      <c r="H943" s="39"/>
      <c r="I943" s="39"/>
      <c r="M943" s="39"/>
      <c r="N943" s="39"/>
      <c r="O943" s="39"/>
      <c r="U943" s="39"/>
      <c r="V943" s="39"/>
      <c r="W943" s="39"/>
      <c r="AC943" s="39"/>
      <c r="AD943" s="39"/>
      <c r="AE943" s="39"/>
      <c r="AK943" s="39"/>
      <c r="AL943" s="39"/>
      <c r="AM943" s="39"/>
      <c r="AS943" s="39"/>
      <c r="AT943" s="39"/>
      <c r="AU943" s="39"/>
      <c r="AZ943" s="40"/>
      <c r="BA943" s="39"/>
      <c r="BB943" s="39"/>
      <c r="BC943" s="39"/>
      <c r="BI943" s="39"/>
      <c r="BJ943" s="39"/>
      <c r="BK943" s="39"/>
      <c r="BQ943" s="39"/>
      <c r="BR943" s="39"/>
      <c r="BS943" s="39"/>
      <c r="BY943" s="39"/>
      <c r="BZ943" s="39"/>
      <c r="CA943" s="39"/>
      <c r="CG943" s="39"/>
      <c r="CH943" s="39"/>
      <c r="CI943" s="39"/>
    </row>
    <row r="944" spans="2:87" ht="15.75" customHeight="1">
      <c r="B944" s="2"/>
      <c r="C944" s="10"/>
      <c r="F944" s="39"/>
      <c r="G944" s="39"/>
      <c r="H944" s="39"/>
      <c r="I944" s="39"/>
      <c r="M944" s="39"/>
      <c r="N944" s="39"/>
      <c r="O944" s="39"/>
      <c r="U944" s="39"/>
      <c r="V944" s="39"/>
      <c r="W944" s="39"/>
      <c r="AC944" s="39"/>
      <c r="AD944" s="39"/>
      <c r="AE944" s="39"/>
      <c r="AK944" s="39"/>
      <c r="AL944" s="39"/>
      <c r="AM944" s="39"/>
      <c r="AS944" s="39"/>
      <c r="AT944" s="39"/>
      <c r="AU944" s="39"/>
      <c r="AZ944" s="40"/>
      <c r="BA944" s="39"/>
      <c r="BB944" s="39"/>
      <c r="BC944" s="39"/>
      <c r="BI944" s="39"/>
      <c r="BJ944" s="39"/>
      <c r="BK944" s="39"/>
      <c r="BQ944" s="39"/>
      <c r="BR944" s="39"/>
      <c r="BS944" s="39"/>
      <c r="BY944" s="39"/>
      <c r="BZ944" s="39"/>
      <c r="CA944" s="39"/>
      <c r="CG944" s="39"/>
      <c r="CH944" s="39"/>
      <c r="CI944" s="39"/>
    </row>
    <row r="945" spans="2:87" ht="15.75" customHeight="1">
      <c r="B945" s="2"/>
      <c r="C945" s="10"/>
      <c r="F945" s="39"/>
      <c r="G945" s="39"/>
      <c r="H945" s="39"/>
      <c r="I945" s="39"/>
      <c r="M945" s="39"/>
      <c r="N945" s="39"/>
      <c r="O945" s="39"/>
      <c r="U945" s="39"/>
      <c r="V945" s="39"/>
      <c r="W945" s="39"/>
      <c r="AC945" s="39"/>
      <c r="AD945" s="39"/>
      <c r="AE945" s="39"/>
      <c r="AK945" s="39"/>
      <c r="AL945" s="39"/>
      <c r="AM945" s="39"/>
      <c r="AS945" s="39"/>
      <c r="AT945" s="39"/>
      <c r="AU945" s="39"/>
      <c r="AZ945" s="40"/>
      <c r="BA945" s="39"/>
      <c r="BB945" s="39"/>
      <c r="BC945" s="39"/>
      <c r="BI945" s="39"/>
      <c r="BJ945" s="39"/>
      <c r="BK945" s="39"/>
      <c r="BQ945" s="39"/>
      <c r="BR945" s="39"/>
      <c r="BS945" s="39"/>
      <c r="BY945" s="39"/>
      <c r="BZ945" s="39"/>
      <c r="CA945" s="39"/>
      <c r="CG945" s="39"/>
      <c r="CH945" s="39"/>
      <c r="CI945" s="39"/>
    </row>
    <row r="946" spans="2:87" ht="15.75" customHeight="1">
      <c r="B946" s="2"/>
      <c r="C946" s="10"/>
      <c r="F946" s="39"/>
      <c r="G946" s="39"/>
      <c r="H946" s="39"/>
      <c r="I946" s="39"/>
      <c r="M946" s="39"/>
      <c r="N946" s="39"/>
      <c r="O946" s="39"/>
      <c r="U946" s="39"/>
      <c r="V946" s="39"/>
      <c r="W946" s="39"/>
      <c r="AC946" s="39"/>
      <c r="AD946" s="39"/>
      <c r="AE946" s="39"/>
      <c r="AK946" s="39"/>
      <c r="AL946" s="39"/>
      <c r="AM946" s="39"/>
      <c r="AS946" s="39"/>
      <c r="AT946" s="39"/>
      <c r="AU946" s="39"/>
      <c r="AZ946" s="40"/>
      <c r="BA946" s="39"/>
      <c r="BB946" s="39"/>
      <c r="BC946" s="39"/>
      <c r="BI946" s="39"/>
      <c r="BJ946" s="39"/>
      <c r="BK946" s="39"/>
      <c r="BQ946" s="39"/>
      <c r="BR946" s="39"/>
      <c r="BS946" s="39"/>
      <c r="BY946" s="39"/>
      <c r="BZ946" s="39"/>
      <c r="CA946" s="39"/>
      <c r="CG946" s="39"/>
      <c r="CH946" s="39"/>
      <c r="CI946" s="39"/>
    </row>
    <row r="947" spans="2:87" ht="15.75" customHeight="1">
      <c r="B947" s="2"/>
      <c r="C947" s="10"/>
      <c r="F947" s="39"/>
      <c r="G947" s="39"/>
      <c r="H947" s="39"/>
      <c r="I947" s="39"/>
      <c r="M947" s="39"/>
      <c r="N947" s="39"/>
      <c r="O947" s="39"/>
      <c r="U947" s="39"/>
      <c r="V947" s="39"/>
      <c r="W947" s="39"/>
      <c r="AC947" s="39"/>
      <c r="AD947" s="39"/>
      <c r="AE947" s="39"/>
      <c r="AK947" s="39"/>
      <c r="AL947" s="39"/>
      <c r="AM947" s="39"/>
      <c r="AS947" s="39"/>
      <c r="AT947" s="39"/>
      <c r="AU947" s="39"/>
      <c r="AZ947" s="40"/>
      <c r="BA947" s="39"/>
      <c r="BB947" s="39"/>
      <c r="BC947" s="39"/>
      <c r="BI947" s="39"/>
      <c r="BJ947" s="39"/>
      <c r="BK947" s="39"/>
      <c r="BQ947" s="39"/>
      <c r="BR947" s="39"/>
      <c r="BS947" s="39"/>
      <c r="BY947" s="39"/>
      <c r="BZ947" s="39"/>
      <c r="CA947" s="39"/>
      <c r="CG947" s="39"/>
      <c r="CH947" s="39"/>
      <c r="CI947" s="39"/>
    </row>
    <row r="948" spans="2:87" ht="15.75" customHeight="1">
      <c r="B948" s="2"/>
      <c r="C948" s="10"/>
      <c r="F948" s="39"/>
      <c r="G948" s="39"/>
      <c r="H948" s="39"/>
      <c r="I948" s="39"/>
      <c r="M948" s="39"/>
      <c r="N948" s="39"/>
      <c r="O948" s="39"/>
      <c r="U948" s="39"/>
      <c r="V948" s="39"/>
      <c r="W948" s="39"/>
      <c r="AC948" s="39"/>
      <c r="AD948" s="39"/>
      <c r="AE948" s="39"/>
      <c r="AK948" s="39"/>
      <c r="AL948" s="39"/>
      <c r="AM948" s="39"/>
      <c r="AS948" s="39"/>
      <c r="AT948" s="39"/>
      <c r="AU948" s="39"/>
      <c r="AZ948" s="40"/>
      <c r="BA948" s="39"/>
      <c r="BB948" s="39"/>
      <c r="BC948" s="39"/>
      <c r="BI948" s="39"/>
      <c r="BJ948" s="39"/>
      <c r="BK948" s="39"/>
      <c r="BQ948" s="39"/>
      <c r="BR948" s="39"/>
      <c r="BS948" s="39"/>
      <c r="BY948" s="39"/>
      <c r="BZ948" s="39"/>
      <c r="CA948" s="39"/>
      <c r="CG948" s="39"/>
      <c r="CH948" s="39"/>
      <c r="CI948" s="39"/>
    </row>
    <row r="949" spans="2:87" ht="15.75" customHeight="1">
      <c r="B949" s="2"/>
      <c r="C949" s="10"/>
      <c r="F949" s="39"/>
      <c r="G949" s="39"/>
      <c r="H949" s="39"/>
      <c r="I949" s="39"/>
      <c r="M949" s="39"/>
      <c r="N949" s="39"/>
      <c r="O949" s="39"/>
      <c r="U949" s="39"/>
      <c r="V949" s="39"/>
      <c r="W949" s="39"/>
      <c r="AC949" s="39"/>
      <c r="AD949" s="39"/>
      <c r="AE949" s="39"/>
      <c r="AK949" s="39"/>
      <c r="AL949" s="39"/>
      <c r="AM949" s="39"/>
      <c r="AS949" s="39"/>
      <c r="AT949" s="39"/>
      <c r="AU949" s="39"/>
      <c r="AZ949" s="40"/>
      <c r="BA949" s="39"/>
      <c r="BB949" s="39"/>
      <c r="BC949" s="39"/>
      <c r="BI949" s="39"/>
      <c r="BJ949" s="39"/>
      <c r="BK949" s="39"/>
      <c r="BQ949" s="39"/>
      <c r="BR949" s="39"/>
      <c r="BS949" s="39"/>
      <c r="BY949" s="39"/>
      <c r="BZ949" s="39"/>
      <c r="CA949" s="39"/>
      <c r="CG949" s="39"/>
      <c r="CH949" s="39"/>
      <c r="CI949" s="39"/>
    </row>
    <row r="950" spans="2:87" ht="15.75" customHeight="1">
      <c r="B950" s="2"/>
      <c r="C950" s="10"/>
      <c r="F950" s="39"/>
      <c r="G950" s="39"/>
      <c r="H950" s="39"/>
      <c r="I950" s="39"/>
      <c r="M950" s="39"/>
      <c r="N950" s="39"/>
      <c r="O950" s="39"/>
      <c r="U950" s="39"/>
      <c r="V950" s="39"/>
      <c r="W950" s="39"/>
      <c r="AC950" s="39"/>
      <c r="AD950" s="39"/>
      <c r="AE950" s="39"/>
      <c r="AK950" s="39"/>
      <c r="AL950" s="39"/>
      <c r="AM950" s="39"/>
      <c r="AS950" s="39"/>
      <c r="AT950" s="39"/>
      <c r="AU950" s="39"/>
      <c r="AZ950" s="40"/>
      <c r="BA950" s="39"/>
      <c r="BB950" s="39"/>
      <c r="BC950" s="39"/>
      <c r="BI950" s="39"/>
      <c r="BJ950" s="39"/>
      <c r="BK950" s="39"/>
      <c r="BQ950" s="39"/>
      <c r="BR950" s="39"/>
      <c r="BS950" s="39"/>
      <c r="BY950" s="39"/>
      <c r="BZ950" s="39"/>
      <c r="CA950" s="39"/>
      <c r="CG950" s="39"/>
      <c r="CH950" s="39"/>
      <c r="CI950" s="39"/>
    </row>
    <row r="951" spans="2:87" ht="15.75" customHeight="1">
      <c r="B951" s="2"/>
      <c r="C951" s="10"/>
      <c r="F951" s="39"/>
      <c r="G951" s="39"/>
      <c r="H951" s="39"/>
      <c r="I951" s="39"/>
      <c r="M951" s="39"/>
      <c r="N951" s="39"/>
      <c r="O951" s="39"/>
      <c r="U951" s="39"/>
      <c r="V951" s="39"/>
      <c r="W951" s="39"/>
      <c r="AC951" s="39"/>
      <c r="AD951" s="39"/>
      <c r="AE951" s="39"/>
      <c r="AK951" s="39"/>
      <c r="AL951" s="39"/>
      <c r="AM951" s="39"/>
      <c r="AS951" s="39"/>
      <c r="AT951" s="39"/>
      <c r="AU951" s="39"/>
      <c r="AZ951" s="40"/>
      <c r="BA951" s="39"/>
      <c r="BB951" s="39"/>
      <c r="BC951" s="39"/>
      <c r="BI951" s="39"/>
      <c r="BJ951" s="39"/>
      <c r="BK951" s="39"/>
      <c r="BQ951" s="39"/>
      <c r="BR951" s="39"/>
      <c r="BS951" s="39"/>
      <c r="BY951" s="39"/>
      <c r="BZ951" s="39"/>
      <c r="CA951" s="39"/>
      <c r="CG951" s="39"/>
      <c r="CH951" s="39"/>
      <c r="CI951" s="39"/>
    </row>
    <row r="952" spans="2:87" ht="15.75" customHeight="1">
      <c r="B952" s="2"/>
      <c r="C952" s="10"/>
      <c r="F952" s="39"/>
      <c r="G952" s="39"/>
      <c r="H952" s="39"/>
      <c r="I952" s="39"/>
      <c r="M952" s="39"/>
      <c r="N952" s="39"/>
      <c r="O952" s="39"/>
      <c r="U952" s="39"/>
      <c r="V952" s="39"/>
      <c r="W952" s="39"/>
      <c r="AC952" s="39"/>
      <c r="AD952" s="39"/>
      <c r="AE952" s="39"/>
      <c r="AK952" s="39"/>
      <c r="AL952" s="39"/>
      <c r="AM952" s="39"/>
      <c r="AS952" s="39"/>
      <c r="AT952" s="39"/>
      <c r="AU952" s="39"/>
      <c r="AZ952" s="40"/>
      <c r="BA952" s="39"/>
      <c r="BB952" s="39"/>
      <c r="BC952" s="39"/>
      <c r="BI952" s="39"/>
      <c r="BJ952" s="39"/>
      <c r="BK952" s="39"/>
      <c r="BQ952" s="39"/>
      <c r="BR952" s="39"/>
      <c r="BS952" s="39"/>
      <c r="BY952" s="39"/>
      <c r="BZ952" s="39"/>
      <c r="CA952" s="39"/>
      <c r="CG952" s="39"/>
      <c r="CH952" s="39"/>
      <c r="CI952" s="39"/>
    </row>
    <row r="953" spans="2:87" ht="15.75" customHeight="1">
      <c r="B953" s="2"/>
      <c r="C953" s="10"/>
      <c r="F953" s="39"/>
      <c r="G953" s="39"/>
      <c r="H953" s="39"/>
      <c r="I953" s="39"/>
      <c r="M953" s="39"/>
      <c r="N953" s="39"/>
      <c r="O953" s="39"/>
      <c r="U953" s="39"/>
      <c r="V953" s="39"/>
      <c r="W953" s="39"/>
      <c r="AC953" s="39"/>
      <c r="AD953" s="39"/>
      <c r="AE953" s="39"/>
      <c r="AK953" s="39"/>
      <c r="AL953" s="39"/>
      <c r="AM953" s="39"/>
      <c r="AS953" s="39"/>
      <c r="AT953" s="39"/>
      <c r="AU953" s="39"/>
      <c r="AZ953" s="40"/>
      <c r="BA953" s="39"/>
      <c r="BB953" s="39"/>
      <c r="BC953" s="39"/>
      <c r="BI953" s="39"/>
      <c r="BJ953" s="39"/>
      <c r="BK953" s="39"/>
      <c r="BQ953" s="39"/>
      <c r="BR953" s="39"/>
      <c r="BS953" s="39"/>
      <c r="BY953" s="39"/>
      <c r="BZ953" s="39"/>
      <c r="CA953" s="39"/>
      <c r="CG953" s="39"/>
      <c r="CH953" s="39"/>
      <c r="CI953" s="39"/>
    </row>
    <row r="954" spans="2:87" ht="15.75" customHeight="1">
      <c r="B954" s="2"/>
      <c r="C954" s="10"/>
      <c r="F954" s="39"/>
      <c r="G954" s="39"/>
      <c r="H954" s="39"/>
      <c r="I954" s="39"/>
      <c r="M954" s="39"/>
      <c r="N954" s="39"/>
      <c r="O954" s="39"/>
      <c r="U954" s="39"/>
      <c r="V954" s="39"/>
      <c r="W954" s="39"/>
      <c r="AC954" s="39"/>
      <c r="AD954" s="39"/>
      <c r="AE954" s="39"/>
      <c r="AK954" s="39"/>
      <c r="AL954" s="39"/>
      <c r="AM954" s="39"/>
      <c r="AS954" s="39"/>
      <c r="AT954" s="39"/>
      <c r="AU954" s="39"/>
      <c r="AZ954" s="40"/>
      <c r="BA954" s="39"/>
      <c r="BB954" s="39"/>
      <c r="BC954" s="39"/>
      <c r="BI954" s="39"/>
      <c r="BJ954" s="39"/>
      <c r="BK954" s="39"/>
      <c r="BQ954" s="39"/>
      <c r="BR954" s="39"/>
      <c r="BS954" s="39"/>
      <c r="BY954" s="39"/>
      <c r="BZ954" s="39"/>
      <c r="CA954" s="39"/>
      <c r="CG954" s="39"/>
      <c r="CH954" s="39"/>
      <c r="CI954" s="39"/>
    </row>
    <row r="955" spans="2:87" ht="15.75" customHeight="1">
      <c r="B955" s="2"/>
      <c r="C955" s="10"/>
      <c r="F955" s="39"/>
      <c r="G955" s="39"/>
      <c r="H955" s="39"/>
      <c r="I955" s="39"/>
      <c r="M955" s="39"/>
      <c r="N955" s="39"/>
      <c r="O955" s="39"/>
      <c r="U955" s="39"/>
      <c r="V955" s="39"/>
      <c r="W955" s="39"/>
      <c r="AC955" s="39"/>
      <c r="AD955" s="39"/>
      <c r="AE955" s="39"/>
      <c r="AK955" s="39"/>
      <c r="AL955" s="39"/>
      <c r="AM955" s="39"/>
      <c r="AS955" s="39"/>
      <c r="AT955" s="39"/>
      <c r="AU955" s="39"/>
      <c r="AZ955" s="40"/>
      <c r="BA955" s="39"/>
      <c r="BB955" s="39"/>
      <c r="BC955" s="39"/>
      <c r="BI955" s="39"/>
      <c r="BJ955" s="39"/>
      <c r="BK955" s="39"/>
      <c r="BQ955" s="39"/>
      <c r="BR955" s="39"/>
      <c r="BS955" s="39"/>
      <c r="BY955" s="39"/>
      <c r="BZ955" s="39"/>
      <c r="CA955" s="39"/>
      <c r="CG955" s="39"/>
      <c r="CH955" s="39"/>
      <c r="CI955" s="39"/>
    </row>
    <row r="956" spans="2:87" ht="15.75" customHeight="1">
      <c r="B956" s="2"/>
      <c r="C956" s="10"/>
      <c r="F956" s="39"/>
      <c r="G956" s="39"/>
      <c r="H956" s="39"/>
      <c r="I956" s="39"/>
      <c r="M956" s="39"/>
      <c r="N956" s="39"/>
      <c r="O956" s="39"/>
      <c r="U956" s="39"/>
      <c r="V956" s="39"/>
      <c r="W956" s="39"/>
      <c r="AC956" s="39"/>
      <c r="AD956" s="39"/>
      <c r="AE956" s="39"/>
      <c r="AK956" s="39"/>
      <c r="AL956" s="39"/>
      <c r="AM956" s="39"/>
      <c r="AS956" s="39"/>
      <c r="AT956" s="39"/>
      <c r="AU956" s="39"/>
      <c r="AZ956" s="40"/>
      <c r="BA956" s="39"/>
      <c r="BB956" s="39"/>
      <c r="BC956" s="39"/>
      <c r="BI956" s="39"/>
      <c r="BJ956" s="39"/>
      <c r="BK956" s="39"/>
      <c r="BQ956" s="39"/>
      <c r="BR956" s="39"/>
      <c r="BS956" s="39"/>
      <c r="BY956" s="39"/>
      <c r="BZ956" s="39"/>
      <c r="CA956" s="39"/>
      <c r="CG956" s="39"/>
      <c r="CH956" s="39"/>
      <c r="CI956" s="39"/>
    </row>
    <row r="957" spans="2:87" ht="15.75" customHeight="1">
      <c r="B957" s="2"/>
      <c r="C957" s="10"/>
      <c r="F957" s="39"/>
      <c r="G957" s="39"/>
      <c r="H957" s="39"/>
      <c r="I957" s="39"/>
      <c r="M957" s="39"/>
      <c r="N957" s="39"/>
      <c r="O957" s="39"/>
      <c r="U957" s="39"/>
      <c r="V957" s="39"/>
      <c r="W957" s="39"/>
      <c r="AC957" s="39"/>
      <c r="AD957" s="39"/>
      <c r="AE957" s="39"/>
      <c r="AK957" s="39"/>
      <c r="AL957" s="39"/>
      <c r="AM957" s="39"/>
      <c r="AS957" s="39"/>
      <c r="AT957" s="39"/>
      <c r="AU957" s="39"/>
      <c r="AZ957" s="40"/>
      <c r="BA957" s="39"/>
      <c r="BB957" s="39"/>
      <c r="BC957" s="39"/>
      <c r="BI957" s="39"/>
      <c r="BJ957" s="39"/>
      <c r="BK957" s="39"/>
      <c r="BQ957" s="39"/>
      <c r="BR957" s="39"/>
      <c r="BS957" s="39"/>
      <c r="BY957" s="39"/>
      <c r="BZ957" s="39"/>
      <c r="CA957" s="39"/>
      <c r="CG957" s="39"/>
      <c r="CH957" s="39"/>
      <c r="CI957" s="39"/>
    </row>
    <row r="958" spans="2:87" ht="15.75" customHeight="1">
      <c r="B958" s="2"/>
      <c r="C958" s="10"/>
      <c r="F958" s="39"/>
      <c r="G958" s="39"/>
      <c r="H958" s="39"/>
      <c r="I958" s="39"/>
      <c r="M958" s="39"/>
      <c r="N958" s="39"/>
      <c r="O958" s="39"/>
      <c r="U958" s="39"/>
      <c r="V958" s="39"/>
      <c r="W958" s="39"/>
      <c r="AC958" s="39"/>
      <c r="AD958" s="39"/>
      <c r="AE958" s="39"/>
      <c r="AK958" s="39"/>
      <c r="AL958" s="39"/>
      <c r="AM958" s="39"/>
      <c r="AS958" s="39"/>
      <c r="AT958" s="39"/>
      <c r="AU958" s="39"/>
      <c r="AZ958" s="40"/>
      <c r="BA958" s="39"/>
      <c r="BB958" s="39"/>
      <c r="BC958" s="39"/>
      <c r="BI958" s="39"/>
      <c r="BJ958" s="39"/>
      <c r="BK958" s="39"/>
      <c r="BQ958" s="39"/>
      <c r="BR958" s="39"/>
      <c r="BS958" s="39"/>
      <c r="BY958" s="39"/>
      <c r="BZ958" s="39"/>
      <c r="CA958" s="39"/>
      <c r="CG958" s="39"/>
      <c r="CH958" s="39"/>
      <c r="CI958" s="39"/>
    </row>
    <row r="959" spans="2:87" ht="15.75" customHeight="1">
      <c r="B959" s="2"/>
      <c r="C959" s="10"/>
      <c r="F959" s="39"/>
      <c r="G959" s="39"/>
      <c r="H959" s="39"/>
      <c r="I959" s="39"/>
      <c r="M959" s="39"/>
      <c r="N959" s="39"/>
      <c r="O959" s="39"/>
      <c r="U959" s="39"/>
      <c r="V959" s="39"/>
      <c r="W959" s="39"/>
      <c r="AC959" s="39"/>
      <c r="AD959" s="39"/>
      <c r="AE959" s="39"/>
      <c r="AK959" s="39"/>
      <c r="AL959" s="39"/>
      <c r="AM959" s="39"/>
      <c r="AS959" s="39"/>
      <c r="AT959" s="39"/>
      <c r="AU959" s="39"/>
      <c r="AZ959" s="40"/>
      <c r="BA959" s="39"/>
      <c r="BB959" s="39"/>
      <c r="BC959" s="39"/>
      <c r="BI959" s="39"/>
      <c r="BJ959" s="39"/>
      <c r="BK959" s="39"/>
      <c r="BQ959" s="39"/>
      <c r="BR959" s="39"/>
      <c r="BS959" s="39"/>
      <c r="BY959" s="39"/>
      <c r="BZ959" s="39"/>
      <c r="CA959" s="39"/>
      <c r="CG959" s="39"/>
      <c r="CH959" s="39"/>
      <c r="CI959" s="39"/>
    </row>
    <row r="960" spans="2:87" ht="15.75" customHeight="1">
      <c r="B960" s="2"/>
      <c r="C960" s="10"/>
      <c r="F960" s="39"/>
      <c r="G960" s="39"/>
      <c r="H960" s="39"/>
      <c r="I960" s="39"/>
      <c r="M960" s="39"/>
      <c r="N960" s="39"/>
      <c r="O960" s="39"/>
      <c r="U960" s="39"/>
      <c r="V960" s="39"/>
      <c r="W960" s="39"/>
      <c r="AC960" s="39"/>
      <c r="AD960" s="39"/>
      <c r="AE960" s="39"/>
      <c r="AK960" s="39"/>
      <c r="AL960" s="39"/>
      <c r="AM960" s="39"/>
      <c r="AS960" s="39"/>
      <c r="AT960" s="39"/>
      <c r="AU960" s="39"/>
      <c r="AZ960" s="40"/>
      <c r="BA960" s="39"/>
      <c r="BB960" s="39"/>
      <c r="BC960" s="39"/>
      <c r="BI960" s="39"/>
      <c r="BJ960" s="39"/>
      <c r="BK960" s="39"/>
      <c r="BQ960" s="39"/>
      <c r="BR960" s="39"/>
      <c r="BS960" s="39"/>
      <c r="BY960" s="39"/>
      <c r="BZ960" s="39"/>
      <c r="CA960" s="39"/>
      <c r="CG960" s="39"/>
      <c r="CH960" s="39"/>
      <c r="CI960" s="39"/>
    </row>
    <row r="961" spans="2:87" ht="15.75" customHeight="1">
      <c r="B961" s="2"/>
      <c r="C961" s="10"/>
      <c r="F961" s="39"/>
      <c r="G961" s="39"/>
      <c r="H961" s="39"/>
      <c r="I961" s="39"/>
      <c r="M961" s="39"/>
      <c r="N961" s="39"/>
      <c r="O961" s="39"/>
      <c r="U961" s="39"/>
      <c r="V961" s="39"/>
      <c r="W961" s="39"/>
      <c r="AC961" s="39"/>
      <c r="AD961" s="39"/>
      <c r="AE961" s="39"/>
      <c r="AK961" s="39"/>
      <c r="AL961" s="39"/>
      <c r="AM961" s="39"/>
      <c r="AS961" s="39"/>
      <c r="AT961" s="39"/>
      <c r="AU961" s="39"/>
      <c r="AZ961" s="40"/>
      <c r="BA961" s="39"/>
      <c r="BB961" s="39"/>
      <c r="BC961" s="39"/>
      <c r="BI961" s="39"/>
      <c r="BJ961" s="39"/>
      <c r="BK961" s="39"/>
      <c r="BQ961" s="39"/>
      <c r="BR961" s="39"/>
      <c r="BS961" s="39"/>
      <c r="BY961" s="39"/>
      <c r="BZ961" s="39"/>
      <c r="CA961" s="39"/>
      <c r="CG961" s="39"/>
      <c r="CH961" s="39"/>
      <c r="CI961" s="39"/>
    </row>
    <row r="962" spans="2:87" ht="15.75" customHeight="1">
      <c r="B962" s="2"/>
      <c r="C962" s="10"/>
      <c r="F962" s="39"/>
      <c r="G962" s="39"/>
      <c r="H962" s="39"/>
      <c r="I962" s="39"/>
      <c r="M962" s="39"/>
      <c r="N962" s="39"/>
      <c r="O962" s="39"/>
      <c r="U962" s="39"/>
      <c r="V962" s="39"/>
      <c r="W962" s="39"/>
      <c r="AC962" s="39"/>
      <c r="AD962" s="39"/>
      <c r="AE962" s="39"/>
      <c r="AK962" s="39"/>
      <c r="AL962" s="39"/>
      <c r="AM962" s="39"/>
      <c r="AS962" s="39"/>
      <c r="AT962" s="39"/>
      <c r="AU962" s="39"/>
      <c r="AZ962" s="40"/>
      <c r="BA962" s="39"/>
      <c r="BB962" s="39"/>
      <c r="BC962" s="39"/>
      <c r="BI962" s="39"/>
      <c r="BJ962" s="39"/>
      <c r="BK962" s="39"/>
      <c r="BQ962" s="39"/>
      <c r="BR962" s="39"/>
      <c r="BS962" s="39"/>
      <c r="BY962" s="39"/>
      <c r="BZ962" s="39"/>
      <c r="CA962" s="39"/>
      <c r="CG962" s="39"/>
      <c r="CH962" s="39"/>
      <c r="CI962" s="39"/>
    </row>
    <row r="963" spans="2:87" ht="15.75" customHeight="1">
      <c r="B963" s="2"/>
      <c r="C963" s="10"/>
      <c r="F963" s="39"/>
      <c r="G963" s="39"/>
      <c r="H963" s="39"/>
      <c r="I963" s="39"/>
      <c r="M963" s="39"/>
      <c r="N963" s="39"/>
      <c r="O963" s="39"/>
      <c r="U963" s="39"/>
      <c r="V963" s="39"/>
      <c r="W963" s="39"/>
      <c r="AC963" s="39"/>
      <c r="AD963" s="39"/>
      <c r="AE963" s="39"/>
      <c r="AK963" s="39"/>
      <c r="AL963" s="39"/>
      <c r="AM963" s="39"/>
      <c r="AS963" s="39"/>
      <c r="AT963" s="39"/>
      <c r="AU963" s="39"/>
      <c r="AZ963" s="40"/>
      <c r="BA963" s="39"/>
      <c r="BB963" s="39"/>
      <c r="BC963" s="39"/>
      <c r="BI963" s="39"/>
      <c r="BJ963" s="39"/>
      <c r="BK963" s="39"/>
      <c r="BQ963" s="39"/>
      <c r="BR963" s="39"/>
      <c r="BS963" s="39"/>
      <c r="BY963" s="39"/>
      <c r="BZ963" s="39"/>
      <c r="CA963" s="39"/>
      <c r="CG963" s="39"/>
      <c r="CH963" s="39"/>
      <c r="CI963" s="39"/>
    </row>
    <row r="964" spans="2:87" ht="15.75" customHeight="1">
      <c r="B964" s="2"/>
      <c r="C964" s="10"/>
      <c r="F964" s="39"/>
      <c r="G964" s="39"/>
      <c r="H964" s="39"/>
      <c r="I964" s="39"/>
      <c r="M964" s="39"/>
      <c r="N964" s="39"/>
      <c r="O964" s="39"/>
      <c r="U964" s="39"/>
      <c r="V964" s="39"/>
      <c r="W964" s="39"/>
      <c r="AC964" s="39"/>
      <c r="AD964" s="39"/>
      <c r="AE964" s="39"/>
      <c r="AK964" s="39"/>
      <c r="AL964" s="39"/>
      <c r="AM964" s="39"/>
      <c r="AS964" s="39"/>
      <c r="AT964" s="39"/>
      <c r="AU964" s="39"/>
      <c r="AZ964" s="40"/>
      <c r="BA964" s="39"/>
      <c r="BB964" s="39"/>
      <c r="BC964" s="39"/>
      <c r="BI964" s="39"/>
      <c r="BJ964" s="39"/>
      <c r="BK964" s="39"/>
      <c r="BQ964" s="39"/>
      <c r="BR964" s="39"/>
      <c r="BS964" s="39"/>
      <c r="BY964" s="39"/>
      <c r="BZ964" s="39"/>
      <c r="CA964" s="39"/>
      <c r="CG964" s="39"/>
      <c r="CH964" s="39"/>
      <c r="CI964" s="39"/>
    </row>
    <row r="965" spans="2:87" ht="15.75" customHeight="1">
      <c r="B965" s="2"/>
      <c r="C965" s="10"/>
      <c r="F965" s="39"/>
      <c r="G965" s="39"/>
      <c r="H965" s="39"/>
      <c r="I965" s="39"/>
      <c r="M965" s="39"/>
      <c r="N965" s="39"/>
      <c r="O965" s="39"/>
      <c r="U965" s="39"/>
      <c r="V965" s="39"/>
      <c r="W965" s="39"/>
      <c r="AC965" s="39"/>
      <c r="AD965" s="39"/>
      <c r="AE965" s="39"/>
      <c r="AK965" s="39"/>
      <c r="AL965" s="39"/>
      <c r="AM965" s="39"/>
      <c r="AS965" s="39"/>
      <c r="AT965" s="39"/>
      <c r="AU965" s="39"/>
      <c r="AZ965" s="40"/>
      <c r="BA965" s="39"/>
      <c r="BB965" s="39"/>
      <c r="BC965" s="39"/>
      <c r="BI965" s="39"/>
      <c r="BJ965" s="39"/>
      <c r="BK965" s="39"/>
      <c r="BQ965" s="39"/>
      <c r="BR965" s="39"/>
      <c r="BS965" s="39"/>
      <c r="BY965" s="39"/>
      <c r="BZ965" s="39"/>
      <c r="CA965" s="39"/>
      <c r="CG965" s="39"/>
      <c r="CH965" s="39"/>
      <c r="CI965" s="39"/>
    </row>
    <row r="966" spans="2:87" ht="15.75" customHeight="1">
      <c r="B966" s="2"/>
      <c r="C966" s="10"/>
      <c r="F966" s="39"/>
      <c r="G966" s="39"/>
      <c r="H966" s="39"/>
      <c r="I966" s="39"/>
      <c r="M966" s="39"/>
      <c r="N966" s="39"/>
      <c r="O966" s="39"/>
      <c r="U966" s="39"/>
      <c r="V966" s="39"/>
      <c r="W966" s="39"/>
      <c r="AC966" s="39"/>
      <c r="AD966" s="39"/>
      <c r="AE966" s="39"/>
      <c r="AK966" s="39"/>
      <c r="AL966" s="39"/>
      <c r="AM966" s="39"/>
      <c r="AS966" s="39"/>
      <c r="AT966" s="39"/>
      <c r="AU966" s="39"/>
      <c r="AZ966" s="40"/>
      <c r="BA966" s="39"/>
      <c r="BB966" s="39"/>
      <c r="BC966" s="39"/>
      <c r="BI966" s="39"/>
      <c r="BJ966" s="39"/>
      <c r="BK966" s="39"/>
      <c r="BQ966" s="39"/>
      <c r="BR966" s="39"/>
      <c r="BS966" s="39"/>
      <c r="BY966" s="39"/>
      <c r="BZ966" s="39"/>
      <c r="CA966" s="39"/>
      <c r="CG966" s="39"/>
      <c r="CH966" s="39"/>
      <c r="CI966" s="39"/>
    </row>
    <row r="967" spans="2:87" ht="15.75" customHeight="1">
      <c r="B967" s="2"/>
      <c r="C967" s="10"/>
      <c r="F967" s="39"/>
      <c r="G967" s="39"/>
      <c r="H967" s="39"/>
      <c r="I967" s="39"/>
      <c r="M967" s="39"/>
      <c r="N967" s="39"/>
      <c r="O967" s="39"/>
      <c r="U967" s="39"/>
      <c r="V967" s="39"/>
      <c r="W967" s="39"/>
      <c r="AC967" s="39"/>
      <c r="AD967" s="39"/>
      <c r="AE967" s="39"/>
      <c r="AK967" s="39"/>
      <c r="AL967" s="39"/>
      <c r="AM967" s="39"/>
      <c r="AS967" s="39"/>
      <c r="AT967" s="39"/>
      <c r="AU967" s="39"/>
      <c r="AZ967" s="40"/>
      <c r="BA967" s="39"/>
      <c r="BB967" s="39"/>
      <c r="BC967" s="39"/>
      <c r="BI967" s="39"/>
      <c r="BJ967" s="39"/>
      <c r="BK967" s="39"/>
      <c r="BQ967" s="39"/>
      <c r="BR967" s="39"/>
      <c r="BS967" s="39"/>
      <c r="BY967" s="39"/>
      <c r="BZ967" s="39"/>
      <c r="CA967" s="39"/>
      <c r="CG967" s="39"/>
      <c r="CH967" s="39"/>
      <c r="CI967" s="39"/>
    </row>
    <row r="968" spans="2:87" ht="15.75" customHeight="1">
      <c r="B968" s="2"/>
      <c r="C968" s="10"/>
      <c r="F968" s="39"/>
      <c r="G968" s="39"/>
      <c r="H968" s="39"/>
      <c r="I968" s="39"/>
      <c r="M968" s="39"/>
      <c r="N968" s="39"/>
      <c r="O968" s="39"/>
      <c r="U968" s="39"/>
      <c r="V968" s="39"/>
      <c r="W968" s="39"/>
      <c r="AC968" s="39"/>
      <c r="AD968" s="39"/>
      <c r="AE968" s="39"/>
      <c r="AK968" s="39"/>
      <c r="AL968" s="39"/>
      <c r="AM968" s="39"/>
      <c r="AS968" s="39"/>
      <c r="AT968" s="39"/>
      <c r="AU968" s="39"/>
      <c r="AZ968" s="40"/>
      <c r="BA968" s="39"/>
      <c r="BB968" s="39"/>
      <c r="BC968" s="39"/>
      <c r="BI968" s="39"/>
      <c r="BJ968" s="39"/>
      <c r="BK968" s="39"/>
      <c r="BQ968" s="39"/>
      <c r="BR968" s="39"/>
      <c r="BS968" s="39"/>
      <c r="BY968" s="39"/>
      <c r="BZ968" s="39"/>
      <c r="CA968" s="39"/>
      <c r="CG968" s="39"/>
      <c r="CH968" s="39"/>
      <c r="CI968" s="39"/>
    </row>
    <row r="969" spans="2:87" ht="15.75" customHeight="1">
      <c r="B969" s="2"/>
      <c r="C969" s="10"/>
      <c r="F969" s="39"/>
      <c r="G969" s="39"/>
      <c r="H969" s="39"/>
      <c r="I969" s="39"/>
      <c r="M969" s="39"/>
      <c r="N969" s="39"/>
      <c r="O969" s="39"/>
      <c r="U969" s="39"/>
      <c r="V969" s="39"/>
      <c r="W969" s="39"/>
      <c r="AC969" s="39"/>
      <c r="AD969" s="39"/>
      <c r="AE969" s="39"/>
      <c r="AK969" s="39"/>
      <c r="AL969" s="39"/>
      <c r="AM969" s="39"/>
      <c r="AS969" s="39"/>
      <c r="AT969" s="39"/>
      <c r="AU969" s="39"/>
      <c r="AZ969" s="40"/>
      <c r="BA969" s="39"/>
      <c r="BB969" s="39"/>
      <c r="BC969" s="39"/>
      <c r="BI969" s="39"/>
      <c r="BJ969" s="39"/>
      <c r="BK969" s="39"/>
      <c r="BQ969" s="39"/>
      <c r="BR969" s="39"/>
      <c r="BS969" s="39"/>
      <c r="BY969" s="39"/>
      <c r="BZ969" s="39"/>
      <c r="CA969" s="39"/>
      <c r="CG969" s="39"/>
      <c r="CH969" s="39"/>
      <c r="CI969" s="39"/>
    </row>
    <row r="970" spans="2:87" ht="15.75" customHeight="1">
      <c r="B970" s="2"/>
      <c r="C970" s="10"/>
      <c r="F970" s="39"/>
      <c r="G970" s="39"/>
      <c r="H970" s="39"/>
      <c r="I970" s="39"/>
      <c r="M970" s="39"/>
      <c r="N970" s="39"/>
      <c r="O970" s="39"/>
      <c r="U970" s="39"/>
      <c r="V970" s="39"/>
      <c r="W970" s="39"/>
      <c r="AC970" s="39"/>
      <c r="AD970" s="39"/>
      <c r="AE970" s="39"/>
      <c r="AK970" s="39"/>
      <c r="AL970" s="39"/>
      <c r="AM970" s="39"/>
      <c r="AS970" s="39"/>
      <c r="AT970" s="39"/>
      <c r="AU970" s="39"/>
      <c r="AZ970" s="40"/>
      <c r="BA970" s="39"/>
      <c r="BB970" s="39"/>
      <c r="BC970" s="39"/>
      <c r="BI970" s="39"/>
      <c r="BJ970" s="39"/>
      <c r="BK970" s="39"/>
      <c r="BQ970" s="39"/>
      <c r="BR970" s="39"/>
      <c r="BS970" s="39"/>
      <c r="BY970" s="39"/>
      <c r="BZ970" s="39"/>
      <c r="CA970" s="39"/>
      <c r="CG970" s="39"/>
      <c r="CH970" s="39"/>
      <c r="CI970" s="39"/>
    </row>
    <row r="971" spans="2:87" ht="15.75" customHeight="1">
      <c r="B971" s="2"/>
      <c r="C971" s="10"/>
      <c r="F971" s="39"/>
      <c r="G971" s="39"/>
      <c r="H971" s="39"/>
      <c r="I971" s="39"/>
      <c r="M971" s="39"/>
      <c r="N971" s="39"/>
      <c r="O971" s="39"/>
      <c r="U971" s="39"/>
      <c r="V971" s="39"/>
      <c r="W971" s="39"/>
      <c r="AC971" s="39"/>
      <c r="AD971" s="39"/>
      <c r="AE971" s="39"/>
      <c r="AK971" s="39"/>
      <c r="AL971" s="39"/>
      <c r="AM971" s="39"/>
      <c r="AS971" s="39"/>
      <c r="AT971" s="39"/>
      <c r="AU971" s="39"/>
      <c r="AZ971" s="40"/>
      <c r="BA971" s="39"/>
      <c r="BB971" s="39"/>
      <c r="BC971" s="39"/>
      <c r="BI971" s="39"/>
      <c r="BJ971" s="39"/>
      <c r="BK971" s="39"/>
      <c r="BQ971" s="39"/>
      <c r="BR971" s="39"/>
      <c r="BS971" s="39"/>
      <c r="BY971" s="39"/>
      <c r="BZ971" s="39"/>
      <c r="CA971" s="39"/>
      <c r="CG971" s="39"/>
      <c r="CH971" s="39"/>
      <c r="CI971" s="39"/>
    </row>
    <row r="972" spans="2:87" ht="15.75" customHeight="1">
      <c r="B972" s="2"/>
      <c r="C972" s="10"/>
      <c r="F972" s="39"/>
      <c r="G972" s="39"/>
      <c r="H972" s="39"/>
      <c r="I972" s="39"/>
      <c r="M972" s="39"/>
      <c r="N972" s="39"/>
      <c r="O972" s="39"/>
      <c r="U972" s="39"/>
      <c r="V972" s="39"/>
      <c r="W972" s="39"/>
      <c r="AC972" s="39"/>
      <c r="AD972" s="39"/>
      <c r="AE972" s="39"/>
      <c r="AK972" s="39"/>
      <c r="AL972" s="39"/>
      <c r="AM972" s="39"/>
      <c r="AS972" s="39"/>
      <c r="AT972" s="39"/>
      <c r="AU972" s="39"/>
      <c r="AZ972" s="40"/>
      <c r="BA972" s="39"/>
      <c r="BB972" s="39"/>
      <c r="BC972" s="39"/>
      <c r="BI972" s="39"/>
      <c r="BJ972" s="39"/>
      <c r="BK972" s="39"/>
      <c r="BQ972" s="39"/>
      <c r="BR972" s="39"/>
      <c r="BS972" s="39"/>
      <c r="BY972" s="39"/>
      <c r="BZ972" s="39"/>
      <c r="CA972" s="39"/>
      <c r="CG972" s="39"/>
      <c r="CH972" s="39"/>
      <c r="CI972" s="39"/>
    </row>
    <row r="973" spans="2:87" ht="15.75" customHeight="1">
      <c r="B973" s="2"/>
      <c r="C973" s="10"/>
      <c r="F973" s="39"/>
      <c r="G973" s="39"/>
      <c r="H973" s="39"/>
      <c r="I973" s="39"/>
      <c r="M973" s="39"/>
      <c r="N973" s="39"/>
      <c r="O973" s="39"/>
      <c r="U973" s="39"/>
      <c r="V973" s="39"/>
      <c r="W973" s="39"/>
      <c r="AC973" s="39"/>
      <c r="AD973" s="39"/>
      <c r="AE973" s="39"/>
      <c r="AK973" s="39"/>
      <c r="AL973" s="39"/>
      <c r="AM973" s="39"/>
      <c r="AS973" s="39"/>
      <c r="AT973" s="39"/>
      <c r="AU973" s="39"/>
      <c r="AZ973" s="40"/>
      <c r="BA973" s="39"/>
      <c r="BB973" s="39"/>
      <c r="BC973" s="39"/>
      <c r="BI973" s="39"/>
      <c r="BJ973" s="39"/>
      <c r="BK973" s="39"/>
      <c r="BQ973" s="39"/>
      <c r="BR973" s="39"/>
      <c r="BS973" s="39"/>
      <c r="BY973" s="39"/>
      <c r="BZ973" s="39"/>
      <c r="CA973" s="39"/>
      <c r="CG973" s="39"/>
      <c r="CH973" s="39"/>
      <c r="CI973" s="39"/>
    </row>
    <row r="974" spans="2:87" ht="15.75" customHeight="1">
      <c r="B974" s="2"/>
      <c r="C974" s="10"/>
      <c r="F974" s="39"/>
      <c r="G974" s="39"/>
      <c r="H974" s="39"/>
      <c r="I974" s="39"/>
      <c r="M974" s="39"/>
      <c r="N974" s="39"/>
      <c r="O974" s="39"/>
      <c r="U974" s="39"/>
      <c r="V974" s="39"/>
      <c r="W974" s="39"/>
      <c r="AC974" s="39"/>
      <c r="AD974" s="39"/>
      <c r="AE974" s="39"/>
      <c r="AK974" s="39"/>
      <c r="AL974" s="39"/>
      <c r="AM974" s="39"/>
      <c r="AS974" s="39"/>
      <c r="AT974" s="39"/>
      <c r="AU974" s="39"/>
      <c r="AZ974" s="40"/>
      <c r="BA974" s="39"/>
      <c r="BB974" s="39"/>
      <c r="BC974" s="39"/>
      <c r="BI974" s="39"/>
      <c r="BJ974" s="39"/>
      <c r="BK974" s="39"/>
      <c r="BQ974" s="39"/>
      <c r="BR974" s="39"/>
      <c r="BS974" s="39"/>
      <c r="BY974" s="39"/>
      <c r="BZ974" s="39"/>
      <c r="CA974" s="39"/>
      <c r="CG974" s="39"/>
      <c r="CH974" s="39"/>
      <c r="CI974" s="39"/>
    </row>
    <row r="975" spans="2:87" ht="15.75" customHeight="1">
      <c r="B975" s="2"/>
      <c r="C975" s="10"/>
      <c r="F975" s="39"/>
      <c r="G975" s="39"/>
      <c r="H975" s="39"/>
      <c r="I975" s="39"/>
      <c r="M975" s="39"/>
      <c r="N975" s="39"/>
      <c r="O975" s="39"/>
      <c r="U975" s="39"/>
      <c r="V975" s="39"/>
      <c r="W975" s="39"/>
      <c r="AC975" s="39"/>
      <c r="AD975" s="39"/>
      <c r="AE975" s="39"/>
      <c r="AK975" s="39"/>
      <c r="AL975" s="39"/>
      <c r="AM975" s="39"/>
      <c r="AS975" s="39"/>
      <c r="AT975" s="39"/>
      <c r="AU975" s="39"/>
      <c r="AZ975" s="40"/>
      <c r="BA975" s="39"/>
      <c r="BB975" s="39"/>
      <c r="BC975" s="39"/>
      <c r="BI975" s="39"/>
      <c r="BJ975" s="39"/>
      <c r="BK975" s="39"/>
      <c r="BQ975" s="39"/>
      <c r="BR975" s="39"/>
      <c r="BS975" s="39"/>
      <c r="BY975" s="39"/>
      <c r="BZ975" s="39"/>
      <c r="CA975" s="39"/>
      <c r="CG975" s="39"/>
      <c r="CH975" s="39"/>
      <c r="CI975" s="39"/>
    </row>
    <row r="976" spans="2:87" ht="15.75" customHeight="1">
      <c r="B976" s="2"/>
      <c r="C976" s="10"/>
      <c r="F976" s="39"/>
      <c r="G976" s="39"/>
      <c r="H976" s="39"/>
      <c r="I976" s="39"/>
      <c r="M976" s="39"/>
      <c r="N976" s="39"/>
      <c r="O976" s="39"/>
      <c r="U976" s="39"/>
      <c r="V976" s="39"/>
      <c r="W976" s="39"/>
      <c r="AC976" s="39"/>
      <c r="AD976" s="39"/>
      <c r="AE976" s="39"/>
      <c r="AK976" s="39"/>
      <c r="AL976" s="39"/>
      <c r="AM976" s="39"/>
      <c r="AS976" s="39"/>
      <c r="AT976" s="39"/>
      <c r="AU976" s="39"/>
      <c r="AZ976" s="40"/>
      <c r="BA976" s="39"/>
      <c r="BB976" s="39"/>
      <c r="BC976" s="39"/>
      <c r="BI976" s="39"/>
      <c r="BJ976" s="39"/>
      <c r="BK976" s="39"/>
      <c r="BQ976" s="39"/>
      <c r="BR976" s="39"/>
      <c r="BS976" s="39"/>
      <c r="BY976" s="39"/>
      <c r="BZ976" s="39"/>
      <c r="CA976" s="39"/>
      <c r="CG976" s="39"/>
      <c r="CH976" s="39"/>
      <c r="CI976" s="39"/>
    </row>
    <row r="977" spans="2:87" ht="15.75" customHeight="1">
      <c r="B977" s="2"/>
      <c r="C977" s="10"/>
      <c r="F977" s="39"/>
      <c r="G977" s="39"/>
      <c r="H977" s="39"/>
      <c r="I977" s="39"/>
      <c r="M977" s="39"/>
      <c r="N977" s="39"/>
      <c r="O977" s="39"/>
      <c r="U977" s="39"/>
      <c r="V977" s="39"/>
      <c r="W977" s="39"/>
      <c r="AC977" s="39"/>
      <c r="AD977" s="39"/>
      <c r="AE977" s="39"/>
      <c r="AK977" s="39"/>
      <c r="AL977" s="39"/>
      <c r="AM977" s="39"/>
      <c r="AS977" s="39"/>
      <c r="AT977" s="39"/>
      <c r="AU977" s="39"/>
      <c r="AZ977" s="40"/>
      <c r="BA977" s="39"/>
      <c r="BB977" s="39"/>
      <c r="BC977" s="39"/>
      <c r="BI977" s="39"/>
      <c r="BJ977" s="39"/>
      <c r="BK977" s="39"/>
      <c r="BQ977" s="39"/>
      <c r="BR977" s="39"/>
      <c r="BS977" s="39"/>
      <c r="BY977" s="39"/>
      <c r="BZ977" s="39"/>
      <c r="CA977" s="39"/>
      <c r="CG977" s="39"/>
      <c r="CH977" s="39"/>
      <c r="CI977" s="39"/>
    </row>
    <row r="978" spans="2:87" ht="15.75" customHeight="1">
      <c r="B978" s="2"/>
      <c r="C978" s="10"/>
      <c r="F978" s="39"/>
      <c r="G978" s="39"/>
      <c r="H978" s="39"/>
      <c r="I978" s="39"/>
      <c r="M978" s="39"/>
      <c r="N978" s="39"/>
      <c r="O978" s="39"/>
      <c r="U978" s="39"/>
      <c r="V978" s="39"/>
      <c r="W978" s="39"/>
      <c r="AC978" s="39"/>
      <c r="AD978" s="39"/>
      <c r="AE978" s="39"/>
      <c r="AK978" s="39"/>
      <c r="AL978" s="39"/>
      <c r="AM978" s="39"/>
      <c r="AS978" s="39"/>
      <c r="AT978" s="39"/>
      <c r="AU978" s="39"/>
      <c r="AZ978" s="40"/>
      <c r="BA978" s="39"/>
      <c r="BB978" s="39"/>
      <c r="BC978" s="39"/>
      <c r="BI978" s="39"/>
      <c r="BJ978" s="39"/>
      <c r="BK978" s="39"/>
      <c r="BQ978" s="39"/>
      <c r="BR978" s="39"/>
      <c r="BS978" s="39"/>
      <c r="BY978" s="39"/>
      <c r="BZ978" s="39"/>
      <c r="CA978" s="39"/>
      <c r="CG978" s="39"/>
      <c r="CH978" s="39"/>
      <c r="CI978" s="39"/>
    </row>
    <row r="979" spans="2:87" ht="15.75" customHeight="1">
      <c r="B979" s="2"/>
      <c r="C979" s="10"/>
      <c r="F979" s="39"/>
      <c r="G979" s="39"/>
      <c r="H979" s="39"/>
      <c r="I979" s="39"/>
      <c r="M979" s="39"/>
      <c r="N979" s="39"/>
      <c r="O979" s="39"/>
      <c r="U979" s="39"/>
      <c r="V979" s="39"/>
      <c r="W979" s="39"/>
      <c r="AC979" s="39"/>
      <c r="AD979" s="39"/>
      <c r="AE979" s="39"/>
      <c r="AK979" s="39"/>
      <c r="AL979" s="39"/>
      <c r="AM979" s="39"/>
      <c r="AS979" s="39"/>
      <c r="AT979" s="39"/>
      <c r="AU979" s="39"/>
      <c r="AZ979" s="40"/>
      <c r="BA979" s="39"/>
      <c r="BB979" s="39"/>
      <c r="BC979" s="39"/>
      <c r="BI979" s="39"/>
      <c r="BJ979" s="39"/>
      <c r="BK979" s="39"/>
      <c r="BQ979" s="39"/>
      <c r="BR979" s="39"/>
      <c r="BS979" s="39"/>
      <c r="BY979" s="39"/>
      <c r="BZ979" s="39"/>
      <c r="CA979" s="39"/>
      <c r="CG979" s="39"/>
      <c r="CH979" s="39"/>
      <c r="CI979" s="39"/>
    </row>
    <row r="980" spans="2:87" ht="15.75" customHeight="1">
      <c r="B980" s="2"/>
      <c r="C980" s="10"/>
      <c r="F980" s="39"/>
      <c r="G980" s="39"/>
      <c r="H980" s="39"/>
      <c r="I980" s="39"/>
      <c r="M980" s="39"/>
      <c r="N980" s="39"/>
      <c r="O980" s="39"/>
      <c r="U980" s="39"/>
      <c r="V980" s="39"/>
      <c r="W980" s="39"/>
      <c r="AC980" s="39"/>
      <c r="AD980" s="39"/>
      <c r="AE980" s="39"/>
      <c r="AK980" s="39"/>
      <c r="AL980" s="39"/>
      <c r="AM980" s="39"/>
      <c r="AS980" s="39"/>
      <c r="AT980" s="39"/>
      <c r="AU980" s="39"/>
      <c r="AZ980" s="40"/>
      <c r="BA980" s="39"/>
      <c r="BB980" s="39"/>
      <c r="BC980" s="39"/>
      <c r="BI980" s="39"/>
      <c r="BJ980" s="39"/>
      <c r="BK980" s="39"/>
      <c r="BQ980" s="39"/>
      <c r="BR980" s="39"/>
      <c r="BS980" s="39"/>
      <c r="BY980" s="39"/>
      <c r="BZ980" s="39"/>
      <c r="CA980" s="39"/>
      <c r="CG980" s="39"/>
      <c r="CH980" s="39"/>
      <c r="CI980" s="39"/>
    </row>
    <row r="981" spans="2:87" ht="15.75" customHeight="1">
      <c r="B981" s="2"/>
      <c r="C981" s="10"/>
      <c r="F981" s="39"/>
      <c r="G981" s="39"/>
      <c r="H981" s="39"/>
      <c r="I981" s="39"/>
      <c r="M981" s="39"/>
      <c r="N981" s="39"/>
      <c r="O981" s="39"/>
      <c r="U981" s="39"/>
      <c r="V981" s="39"/>
      <c r="W981" s="39"/>
      <c r="AC981" s="39"/>
      <c r="AD981" s="39"/>
      <c r="AE981" s="39"/>
      <c r="AK981" s="39"/>
      <c r="AL981" s="39"/>
      <c r="AM981" s="39"/>
      <c r="AS981" s="39"/>
      <c r="AT981" s="39"/>
      <c r="AU981" s="39"/>
      <c r="AZ981" s="40"/>
      <c r="BA981" s="39"/>
      <c r="BB981" s="39"/>
      <c r="BC981" s="39"/>
      <c r="BI981" s="39"/>
      <c r="BJ981" s="39"/>
      <c r="BK981" s="39"/>
      <c r="BQ981" s="39"/>
      <c r="BR981" s="39"/>
      <c r="BS981" s="39"/>
      <c r="BY981" s="39"/>
      <c r="BZ981" s="39"/>
      <c r="CA981" s="39"/>
      <c r="CG981" s="39"/>
      <c r="CH981" s="39"/>
      <c r="CI981" s="39"/>
    </row>
    <row r="982" spans="2:87" ht="15.75" customHeight="1">
      <c r="B982" s="2"/>
      <c r="C982" s="10"/>
      <c r="F982" s="39"/>
      <c r="G982" s="39"/>
      <c r="H982" s="39"/>
      <c r="I982" s="39"/>
      <c r="M982" s="39"/>
      <c r="N982" s="39"/>
      <c r="O982" s="39"/>
      <c r="U982" s="39"/>
      <c r="V982" s="39"/>
      <c r="W982" s="39"/>
      <c r="AC982" s="39"/>
      <c r="AD982" s="39"/>
      <c r="AE982" s="39"/>
      <c r="AK982" s="39"/>
      <c r="AL982" s="39"/>
      <c r="AM982" s="39"/>
      <c r="AS982" s="39"/>
      <c r="AT982" s="39"/>
      <c r="AU982" s="39"/>
      <c r="AZ982" s="40"/>
      <c r="BA982" s="39"/>
      <c r="BB982" s="39"/>
      <c r="BC982" s="39"/>
      <c r="BI982" s="39"/>
      <c r="BJ982" s="39"/>
      <c r="BK982" s="39"/>
      <c r="BQ982" s="39"/>
      <c r="BR982" s="39"/>
      <c r="BS982" s="39"/>
      <c r="BY982" s="39"/>
      <c r="BZ982" s="39"/>
      <c r="CA982" s="39"/>
      <c r="CG982" s="39"/>
      <c r="CH982" s="39"/>
      <c r="CI982" s="39"/>
    </row>
    <row r="983" spans="2:87" ht="15.75" customHeight="1">
      <c r="B983" s="2"/>
      <c r="C983" s="10"/>
      <c r="F983" s="39"/>
      <c r="G983" s="39"/>
      <c r="H983" s="39"/>
      <c r="I983" s="39"/>
      <c r="M983" s="39"/>
      <c r="N983" s="39"/>
      <c r="O983" s="39"/>
      <c r="U983" s="39"/>
      <c r="V983" s="39"/>
      <c r="W983" s="39"/>
      <c r="AC983" s="39"/>
      <c r="AD983" s="39"/>
      <c r="AE983" s="39"/>
      <c r="AK983" s="39"/>
      <c r="AL983" s="39"/>
      <c r="AM983" s="39"/>
      <c r="AS983" s="39"/>
      <c r="AT983" s="39"/>
      <c r="AU983" s="39"/>
      <c r="AZ983" s="40"/>
      <c r="BA983" s="39"/>
      <c r="BB983" s="39"/>
      <c r="BC983" s="39"/>
      <c r="BI983" s="39"/>
      <c r="BJ983" s="39"/>
      <c r="BK983" s="39"/>
      <c r="BQ983" s="39"/>
      <c r="BR983" s="39"/>
      <c r="BS983" s="39"/>
      <c r="BY983" s="39"/>
      <c r="BZ983" s="39"/>
      <c r="CA983" s="39"/>
      <c r="CG983" s="39"/>
      <c r="CH983" s="39"/>
      <c r="CI983" s="39"/>
    </row>
    <row r="984" spans="2:87" ht="15.75" customHeight="1">
      <c r="B984" s="2"/>
      <c r="C984" s="10"/>
      <c r="F984" s="39"/>
      <c r="G984" s="39"/>
      <c r="H984" s="39"/>
      <c r="I984" s="39"/>
      <c r="M984" s="39"/>
      <c r="N984" s="39"/>
      <c r="O984" s="39"/>
      <c r="U984" s="39"/>
      <c r="V984" s="39"/>
      <c r="W984" s="39"/>
      <c r="AC984" s="39"/>
      <c r="AD984" s="39"/>
      <c r="AE984" s="39"/>
      <c r="AK984" s="39"/>
      <c r="AL984" s="39"/>
      <c r="AM984" s="39"/>
      <c r="AS984" s="39"/>
      <c r="AT984" s="39"/>
      <c r="AU984" s="39"/>
      <c r="AZ984" s="40"/>
      <c r="BA984" s="39"/>
      <c r="BB984" s="39"/>
      <c r="BC984" s="39"/>
      <c r="BI984" s="39"/>
      <c r="BJ984" s="39"/>
      <c r="BK984" s="39"/>
      <c r="BQ984" s="39"/>
      <c r="BR984" s="39"/>
      <c r="BS984" s="39"/>
      <c r="BY984" s="39"/>
      <c r="BZ984" s="39"/>
      <c r="CA984" s="39"/>
      <c r="CG984" s="39"/>
      <c r="CH984" s="39"/>
      <c r="CI984" s="39"/>
    </row>
    <row r="985" spans="2:87" ht="15.75" customHeight="1">
      <c r="B985" s="2"/>
      <c r="C985" s="10"/>
      <c r="F985" s="39"/>
      <c r="G985" s="39"/>
      <c r="H985" s="39"/>
      <c r="I985" s="39"/>
      <c r="M985" s="39"/>
      <c r="N985" s="39"/>
      <c r="O985" s="39"/>
      <c r="U985" s="39"/>
      <c r="V985" s="39"/>
      <c r="W985" s="39"/>
      <c r="AC985" s="39"/>
      <c r="AD985" s="39"/>
      <c r="AE985" s="39"/>
      <c r="AK985" s="39"/>
      <c r="AL985" s="39"/>
      <c r="AM985" s="39"/>
      <c r="AS985" s="39"/>
      <c r="AT985" s="39"/>
      <c r="AU985" s="39"/>
      <c r="AZ985" s="40"/>
      <c r="BA985" s="39"/>
      <c r="BB985" s="39"/>
      <c r="BC985" s="39"/>
      <c r="BI985" s="39"/>
      <c r="BJ985" s="39"/>
      <c r="BK985" s="39"/>
      <c r="BQ985" s="39"/>
      <c r="BR985" s="39"/>
      <c r="BS985" s="39"/>
      <c r="BY985" s="39"/>
      <c r="BZ985" s="39"/>
      <c r="CA985" s="39"/>
      <c r="CG985" s="39"/>
      <c r="CH985" s="39"/>
      <c r="CI985" s="39"/>
    </row>
    <row r="986" spans="2:87" ht="15.75" customHeight="1">
      <c r="B986" s="2"/>
      <c r="C986" s="10"/>
      <c r="F986" s="39"/>
      <c r="G986" s="39"/>
      <c r="H986" s="39"/>
      <c r="I986" s="39"/>
      <c r="M986" s="39"/>
      <c r="N986" s="39"/>
      <c r="O986" s="39"/>
      <c r="U986" s="39"/>
      <c r="V986" s="39"/>
      <c r="W986" s="39"/>
      <c r="AC986" s="39"/>
      <c r="AD986" s="39"/>
      <c r="AE986" s="39"/>
      <c r="AK986" s="39"/>
      <c r="AL986" s="39"/>
      <c r="AM986" s="39"/>
      <c r="AS986" s="39"/>
      <c r="AT986" s="39"/>
      <c r="AU986" s="39"/>
      <c r="AZ986" s="40"/>
      <c r="BA986" s="39"/>
      <c r="BB986" s="39"/>
      <c r="BC986" s="39"/>
      <c r="BI986" s="39"/>
      <c r="BJ986" s="39"/>
      <c r="BK986" s="39"/>
      <c r="BQ986" s="39"/>
      <c r="BR986" s="39"/>
      <c r="BS986" s="39"/>
      <c r="BY986" s="39"/>
      <c r="BZ986" s="39"/>
      <c r="CA986" s="39"/>
      <c r="CG986" s="39"/>
      <c r="CH986" s="39"/>
      <c r="CI986" s="39"/>
    </row>
    <row r="987" spans="2:87" ht="15.75" customHeight="1">
      <c r="B987" s="2"/>
      <c r="C987" s="10"/>
      <c r="F987" s="39"/>
      <c r="G987" s="39"/>
      <c r="H987" s="39"/>
      <c r="I987" s="39"/>
      <c r="M987" s="39"/>
      <c r="N987" s="39"/>
      <c r="O987" s="39"/>
      <c r="U987" s="39"/>
      <c r="V987" s="39"/>
      <c r="W987" s="39"/>
      <c r="AC987" s="39"/>
      <c r="AD987" s="39"/>
      <c r="AE987" s="39"/>
      <c r="AK987" s="39"/>
      <c r="AL987" s="39"/>
      <c r="AM987" s="39"/>
      <c r="AS987" s="39"/>
      <c r="AT987" s="39"/>
      <c r="AU987" s="39"/>
      <c r="AZ987" s="40"/>
      <c r="BA987" s="39"/>
      <c r="BB987" s="39"/>
      <c r="BC987" s="39"/>
      <c r="BI987" s="39"/>
      <c r="BJ987" s="39"/>
      <c r="BK987" s="39"/>
      <c r="BQ987" s="39"/>
      <c r="BR987" s="39"/>
      <c r="BS987" s="39"/>
      <c r="BY987" s="39"/>
      <c r="BZ987" s="39"/>
      <c r="CA987" s="39"/>
      <c r="CG987" s="39"/>
      <c r="CH987" s="39"/>
      <c r="CI987" s="39"/>
    </row>
    <row r="988" spans="2:87" ht="15.75" customHeight="1">
      <c r="B988" s="2"/>
      <c r="C988" s="10"/>
      <c r="F988" s="39"/>
      <c r="G988" s="39"/>
      <c r="H988" s="39"/>
      <c r="I988" s="39"/>
      <c r="M988" s="39"/>
      <c r="N988" s="39"/>
      <c r="O988" s="39"/>
      <c r="U988" s="39"/>
      <c r="V988" s="39"/>
      <c r="W988" s="39"/>
      <c r="AC988" s="39"/>
      <c r="AD988" s="39"/>
      <c r="AE988" s="39"/>
      <c r="AK988" s="39"/>
      <c r="AL988" s="39"/>
      <c r="AM988" s="39"/>
      <c r="AS988" s="39"/>
      <c r="AT988" s="39"/>
      <c r="AU988" s="39"/>
      <c r="AZ988" s="40"/>
      <c r="BA988" s="39"/>
      <c r="BB988" s="39"/>
      <c r="BC988" s="39"/>
      <c r="BI988" s="39"/>
      <c r="BJ988" s="39"/>
      <c r="BK988" s="39"/>
      <c r="BQ988" s="39"/>
      <c r="BR988" s="39"/>
      <c r="BS988" s="39"/>
      <c r="BY988" s="39"/>
      <c r="BZ988" s="39"/>
      <c r="CA988" s="39"/>
      <c r="CG988" s="39"/>
      <c r="CH988" s="39"/>
      <c r="CI988" s="39"/>
    </row>
    <row r="989" spans="2:87" ht="15.75" customHeight="1">
      <c r="B989" s="2"/>
      <c r="C989" s="10"/>
      <c r="F989" s="39"/>
      <c r="G989" s="39"/>
      <c r="H989" s="39"/>
      <c r="I989" s="39"/>
      <c r="M989" s="39"/>
      <c r="N989" s="39"/>
      <c r="O989" s="39"/>
      <c r="U989" s="39"/>
      <c r="V989" s="39"/>
      <c r="W989" s="39"/>
      <c r="AC989" s="39"/>
      <c r="AD989" s="39"/>
      <c r="AE989" s="39"/>
      <c r="AK989" s="39"/>
      <c r="AL989" s="39"/>
      <c r="AM989" s="39"/>
      <c r="AS989" s="39"/>
      <c r="AT989" s="39"/>
      <c r="AU989" s="39"/>
      <c r="AZ989" s="40"/>
      <c r="BA989" s="39"/>
      <c r="BB989" s="39"/>
      <c r="BC989" s="39"/>
      <c r="BI989" s="39"/>
      <c r="BJ989" s="39"/>
      <c r="BK989" s="39"/>
      <c r="BQ989" s="39"/>
      <c r="BR989" s="39"/>
      <c r="BS989" s="39"/>
      <c r="BY989" s="39"/>
      <c r="BZ989" s="39"/>
      <c r="CA989" s="39"/>
      <c r="CG989" s="39"/>
      <c r="CH989" s="39"/>
      <c r="CI989" s="39"/>
    </row>
    <row r="990" spans="2:87" ht="15.75" customHeight="1">
      <c r="B990" s="2"/>
      <c r="C990" s="10"/>
      <c r="F990" s="39"/>
      <c r="G990" s="39"/>
      <c r="H990" s="39"/>
      <c r="I990" s="39"/>
      <c r="M990" s="39"/>
      <c r="N990" s="39"/>
      <c r="O990" s="39"/>
      <c r="U990" s="39"/>
      <c r="V990" s="39"/>
      <c r="W990" s="39"/>
      <c r="AC990" s="39"/>
      <c r="AD990" s="39"/>
      <c r="AE990" s="39"/>
      <c r="AK990" s="39"/>
      <c r="AL990" s="39"/>
      <c r="AM990" s="39"/>
      <c r="AS990" s="39"/>
      <c r="AT990" s="39"/>
      <c r="AU990" s="39"/>
      <c r="AZ990" s="40"/>
      <c r="BA990" s="39"/>
      <c r="BB990" s="39"/>
      <c r="BC990" s="39"/>
      <c r="BI990" s="39"/>
      <c r="BJ990" s="39"/>
      <c r="BK990" s="39"/>
      <c r="BQ990" s="39"/>
      <c r="BR990" s="39"/>
      <c r="BS990" s="39"/>
      <c r="BY990" s="39"/>
      <c r="BZ990" s="39"/>
      <c r="CA990" s="39"/>
      <c r="CG990" s="39"/>
      <c r="CH990" s="39"/>
      <c r="CI990" s="39"/>
    </row>
    <row r="991" spans="2:87" ht="15.75" customHeight="1">
      <c r="B991" s="2"/>
      <c r="C991" s="10"/>
      <c r="F991" s="39"/>
      <c r="G991" s="39"/>
      <c r="H991" s="39"/>
      <c r="I991" s="39"/>
      <c r="M991" s="39"/>
      <c r="N991" s="39"/>
      <c r="O991" s="39"/>
      <c r="U991" s="39"/>
      <c r="V991" s="39"/>
      <c r="W991" s="39"/>
      <c r="AC991" s="39"/>
      <c r="AD991" s="39"/>
      <c r="AE991" s="39"/>
      <c r="AK991" s="39"/>
      <c r="AL991" s="39"/>
      <c r="AM991" s="39"/>
      <c r="AS991" s="39"/>
      <c r="AT991" s="39"/>
      <c r="AU991" s="39"/>
      <c r="AZ991" s="40"/>
      <c r="BA991" s="39"/>
      <c r="BB991" s="39"/>
      <c r="BC991" s="39"/>
      <c r="BI991" s="39"/>
      <c r="BJ991" s="39"/>
      <c r="BK991" s="39"/>
      <c r="BQ991" s="39"/>
      <c r="BR991" s="39"/>
      <c r="BS991" s="39"/>
      <c r="BY991" s="39"/>
      <c r="BZ991" s="39"/>
      <c r="CA991" s="39"/>
      <c r="CG991" s="39"/>
      <c r="CH991" s="39"/>
      <c r="CI991" s="39"/>
    </row>
    <row r="992" spans="2:87" ht="15.75" customHeight="1">
      <c r="B992" s="2"/>
      <c r="C992" s="10"/>
      <c r="F992" s="39"/>
      <c r="G992" s="39"/>
      <c r="H992" s="39"/>
      <c r="I992" s="39"/>
      <c r="M992" s="39"/>
      <c r="N992" s="39"/>
      <c r="O992" s="39"/>
      <c r="U992" s="39"/>
      <c r="V992" s="39"/>
      <c r="W992" s="39"/>
      <c r="AC992" s="39"/>
      <c r="AD992" s="39"/>
      <c r="AE992" s="39"/>
      <c r="AK992" s="39"/>
      <c r="AL992" s="39"/>
      <c r="AM992" s="39"/>
      <c r="AS992" s="39"/>
      <c r="AT992" s="39"/>
      <c r="AU992" s="39"/>
      <c r="AZ992" s="40"/>
      <c r="BA992" s="39"/>
      <c r="BB992" s="39"/>
      <c r="BC992" s="39"/>
      <c r="BI992" s="39"/>
      <c r="BJ992" s="39"/>
      <c r="BK992" s="39"/>
      <c r="BQ992" s="39"/>
      <c r="BR992" s="39"/>
      <c r="BS992" s="39"/>
      <c r="BY992" s="39"/>
      <c r="BZ992" s="39"/>
      <c r="CA992" s="39"/>
      <c r="CG992" s="39"/>
      <c r="CH992" s="39"/>
      <c r="CI992" s="39"/>
    </row>
    <row r="993" spans="2:87" ht="15.75" customHeight="1">
      <c r="B993" s="2"/>
      <c r="C993" s="10"/>
      <c r="F993" s="39"/>
      <c r="G993" s="39"/>
      <c r="H993" s="39"/>
      <c r="I993" s="39"/>
      <c r="M993" s="39"/>
      <c r="N993" s="39"/>
      <c r="O993" s="39"/>
      <c r="U993" s="39"/>
      <c r="V993" s="39"/>
      <c r="W993" s="39"/>
      <c r="AC993" s="39"/>
      <c r="AD993" s="39"/>
      <c r="AE993" s="39"/>
      <c r="AK993" s="39"/>
      <c r="AL993" s="39"/>
      <c r="AM993" s="39"/>
      <c r="AS993" s="39"/>
      <c r="AT993" s="39"/>
      <c r="AU993" s="39"/>
      <c r="AZ993" s="40"/>
      <c r="BA993" s="39"/>
      <c r="BB993" s="39"/>
      <c r="BC993" s="39"/>
      <c r="BI993" s="39"/>
      <c r="BJ993" s="39"/>
      <c r="BK993" s="39"/>
      <c r="BQ993" s="39"/>
      <c r="BR993" s="39"/>
      <c r="BS993" s="39"/>
      <c r="BY993" s="39"/>
      <c r="BZ993" s="39"/>
      <c r="CA993" s="39"/>
      <c r="CG993" s="39"/>
      <c r="CH993" s="39"/>
      <c r="CI993" s="39"/>
    </row>
    <row r="994" spans="2:87" ht="15.75" customHeight="1">
      <c r="B994" s="2"/>
      <c r="C994" s="10"/>
      <c r="F994" s="39"/>
      <c r="G994" s="39"/>
      <c r="H994" s="39"/>
      <c r="I994" s="39"/>
      <c r="M994" s="39"/>
      <c r="N994" s="39"/>
      <c r="O994" s="39"/>
      <c r="U994" s="39"/>
      <c r="V994" s="39"/>
      <c r="W994" s="39"/>
      <c r="AC994" s="39"/>
      <c r="AD994" s="39"/>
      <c r="AE994" s="39"/>
      <c r="AK994" s="39"/>
      <c r="AL994" s="39"/>
      <c r="AM994" s="39"/>
      <c r="AS994" s="39"/>
      <c r="AT994" s="39"/>
      <c r="AU994" s="39"/>
      <c r="AZ994" s="40"/>
      <c r="BA994" s="39"/>
      <c r="BB994" s="39"/>
      <c r="BC994" s="39"/>
      <c r="BI994" s="39"/>
      <c r="BJ994" s="39"/>
      <c r="BK994" s="39"/>
      <c r="BQ994" s="39"/>
      <c r="BR994" s="39"/>
      <c r="BS994" s="39"/>
      <c r="BY994" s="39"/>
      <c r="BZ994" s="39"/>
      <c r="CA994" s="39"/>
      <c r="CG994" s="39"/>
      <c r="CH994" s="39"/>
      <c r="CI994" s="39"/>
    </row>
    <row r="995" spans="2:87" ht="15.75" customHeight="1">
      <c r="B995" s="2"/>
      <c r="C995" s="10"/>
      <c r="F995" s="39"/>
      <c r="G995" s="39"/>
      <c r="H995" s="39"/>
      <c r="I995" s="39"/>
      <c r="M995" s="39"/>
      <c r="N995" s="39"/>
      <c r="O995" s="39"/>
      <c r="U995" s="39"/>
      <c r="V995" s="39"/>
      <c r="W995" s="39"/>
      <c r="AC995" s="39"/>
      <c r="AD995" s="39"/>
      <c r="AE995" s="39"/>
      <c r="AK995" s="39"/>
      <c r="AL995" s="39"/>
      <c r="AM995" s="39"/>
      <c r="AS995" s="39"/>
      <c r="AT995" s="39"/>
      <c r="AU995" s="39"/>
      <c r="AZ995" s="40"/>
      <c r="BA995" s="39"/>
      <c r="BB995" s="39"/>
      <c r="BC995" s="39"/>
      <c r="BI995" s="39"/>
      <c r="BJ995" s="39"/>
      <c r="BK995" s="39"/>
      <c r="BQ995" s="39"/>
      <c r="BR995" s="39"/>
      <c r="BS995" s="39"/>
      <c r="BY995" s="39"/>
      <c r="BZ995" s="39"/>
      <c r="CA995" s="39"/>
      <c r="CG995" s="39"/>
      <c r="CH995" s="39"/>
      <c r="CI995" s="39"/>
    </row>
    <row r="996" spans="2:87" ht="15.75" customHeight="1">
      <c r="B996" s="2"/>
      <c r="C996" s="10"/>
      <c r="F996" s="39"/>
      <c r="G996" s="39"/>
      <c r="H996" s="39"/>
      <c r="I996" s="39"/>
      <c r="M996" s="39"/>
      <c r="N996" s="39"/>
      <c r="O996" s="39"/>
      <c r="U996" s="39"/>
      <c r="V996" s="39"/>
      <c r="W996" s="39"/>
      <c r="AC996" s="39"/>
      <c r="AD996" s="39"/>
      <c r="AE996" s="39"/>
      <c r="AK996" s="39"/>
      <c r="AL996" s="39"/>
      <c r="AM996" s="39"/>
      <c r="AS996" s="39"/>
      <c r="AT996" s="39"/>
      <c r="AU996" s="39"/>
      <c r="AZ996" s="40"/>
      <c r="BA996" s="39"/>
      <c r="BB996" s="39"/>
      <c r="BC996" s="39"/>
      <c r="BI996" s="39"/>
      <c r="BJ996" s="39"/>
      <c r="BK996" s="39"/>
      <c r="BQ996" s="39"/>
      <c r="BR996" s="39"/>
      <c r="BS996" s="39"/>
      <c r="BY996" s="39"/>
      <c r="BZ996" s="39"/>
      <c r="CA996" s="39"/>
      <c r="CG996" s="39"/>
      <c r="CH996" s="39"/>
      <c r="CI996" s="39"/>
    </row>
    <row r="997" spans="2:87" ht="15.75" customHeight="1">
      <c r="B997" s="2"/>
      <c r="C997" s="10"/>
      <c r="F997" s="39"/>
      <c r="G997" s="39"/>
      <c r="H997" s="39"/>
      <c r="I997" s="39"/>
      <c r="M997" s="39"/>
      <c r="N997" s="39"/>
      <c r="O997" s="39"/>
      <c r="U997" s="39"/>
      <c r="V997" s="39"/>
      <c r="W997" s="39"/>
      <c r="AC997" s="39"/>
      <c r="AD997" s="39"/>
      <c r="AE997" s="39"/>
      <c r="AK997" s="39"/>
      <c r="AL997" s="39"/>
      <c r="AM997" s="39"/>
      <c r="AS997" s="39"/>
      <c r="AT997" s="39"/>
      <c r="AU997" s="39"/>
      <c r="AZ997" s="40"/>
      <c r="BA997" s="39"/>
      <c r="BB997" s="39"/>
      <c r="BC997" s="39"/>
      <c r="BI997" s="39"/>
      <c r="BJ997" s="39"/>
      <c r="BK997" s="39"/>
      <c r="BQ997" s="39"/>
      <c r="BR997" s="39"/>
      <c r="BS997" s="39"/>
      <c r="BY997" s="39"/>
      <c r="BZ997" s="39"/>
      <c r="CA997" s="39"/>
      <c r="CG997" s="39"/>
      <c r="CH997" s="39"/>
      <c r="CI997" s="39"/>
    </row>
    <row r="998" spans="2:87" ht="15.75" customHeight="1">
      <c r="B998" s="2"/>
      <c r="C998" s="10"/>
      <c r="F998" s="39"/>
      <c r="G998" s="39"/>
      <c r="H998" s="39"/>
      <c r="I998" s="39"/>
      <c r="M998" s="39"/>
      <c r="N998" s="39"/>
      <c r="O998" s="39"/>
      <c r="U998" s="39"/>
      <c r="V998" s="39"/>
      <c r="W998" s="39"/>
      <c r="AC998" s="39"/>
      <c r="AD998" s="39"/>
      <c r="AE998" s="39"/>
      <c r="AK998" s="39"/>
      <c r="AL998" s="39"/>
      <c r="AM998" s="39"/>
      <c r="AS998" s="39"/>
      <c r="AT998" s="39"/>
      <c r="AU998" s="39"/>
      <c r="AZ998" s="40"/>
      <c r="BA998" s="39"/>
      <c r="BB998" s="39"/>
      <c r="BC998" s="39"/>
      <c r="BI998" s="39"/>
      <c r="BJ998" s="39"/>
      <c r="BK998" s="39"/>
      <c r="BQ998" s="39"/>
      <c r="BR998" s="39"/>
      <c r="BS998" s="39"/>
      <c r="BY998" s="39"/>
      <c r="BZ998" s="39"/>
      <c r="CA998" s="39"/>
      <c r="CG998" s="39"/>
      <c r="CH998" s="39"/>
      <c r="CI998" s="39"/>
    </row>
    <row r="999" spans="2:87" ht="15.75" customHeight="1">
      <c r="B999" s="2"/>
      <c r="C999" s="10"/>
      <c r="F999" s="39"/>
      <c r="G999" s="39"/>
      <c r="H999" s="39"/>
      <c r="I999" s="39"/>
      <c r="M999" s="39"/>
      <c r="N999" s="39"/>
      <c r="O999" s="39"/>
      <c r="U999" s="39"/>
      <c r="V999" s="39"/>
      <c r="W999" s="39"/>
      <c r="AC999" s="39"/>
      <c r="AD999" s="39"/>
      <c r="AE999" s="39"/>
      <c r="AK999" s="39"/>
      <c r="AL999" s="39"/>
      <c r="AM999" s="39"/>
      <c r="AS999" s="39"/>
      <c r="AT999" s="39"/>
      <c r="AU999" s="39"/>
      <c r="AZ999" s="40"/>
      <c r="BA999" s="39"/>
      <c r="BB999" s="39"/>
      <c r="BC999" s="39"/>
      <c r="BI999" s="39"/>
      <c r="BJ999" s="39"/>
      <c r="BK999" s="39"/>
      <c r="BQ999" s="39"/>
      <c r="BR999" s="39"/>
      <c r="BS999" s="39"/>
      <c r="BY999" s="39"/>
      <c r="BZ999" s="39"/>
      <c r="CA999" s="39"/>
      <c r="CG999" s="39"/>
      <c r="CH999" s="39"/>
      <c r="CI999" s="39"/>
    </row>
    <row r="1000" spans="2:87" ht="15.75" customHeight="1">
      <c r="B1000" s="2"/>
      <c r="C1000" s="10"/>
      <c r="F1000" s="39"/>
      <c r="G1000" s="39"/>
      <c r="H1000" s="39"/>
      <c r="I1000" s="39"/>
      <c r="M1000" s="39"/>
      <c r="N1000" s="39"/>
      <c r="O1000" s="39"/>
      <c r="U1000" s="39"/>
      <c r="V1000" s="39"/>
      <c r="W1000" s="39"/>
      <c r="AC1000" s="39"/>
      <c r="AD1000" s="39"/>
      <c r="AE1000" s="39"/>
      <c r="AK1000" s="39"/>
      <c r="AL1000" s="39"/>
      <c r="AM1000" s="39"/>
      <c r="AS1000" s="39"/>
      <c r="AT1000" s="39"/>
      <c r="AU1000" s="39"/>
      <c r="AZ1000" s="40"/>
      <c r="BA1000" s="39"/>
      <c r="BB1000" s="39"/>
      <c r="BC1000" s="39"/>
      <c r="BI1000" s="39"/>
      <c r="BJ1000" s="39"/>
      <c r="BK1000" s="39"/>
      <c r="BQ1000" s="39"/>
      <c r="BR1000" s="39"/>
      <c r="BS1000" s="39"/>
      <c r="BY1000" s="39"/>
      <c r="BZ1000" s="39"/>
      <c r="CA1000" s="39"/>
      <c r="CG1000" s="39"/>
      <c r="CH1000" s="39"/>
      <c r="CI1000" s="39"/>
    </row>
  </sheetData>
  <autoFilter ref="A1:CP1000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</vt:lpstr>
      <vt:lpstr>Austin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Spann, Kennedy</cp:lastModifiedBy>
  <dcterms:created xsi:type="dcterms:W3CDTF">2023-12-23T00:20:18Z</dcterms:created>
  <dcterms:modified xsi:type="dcterms:W3CDTF">2025-12-22T16:24:30Z</dcterms:modified>
</cp:coreProperties>
</file>